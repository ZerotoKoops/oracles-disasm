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sys64\home\patny\lost-oracle\outline\"/>
    </mc:Choice>
  </mc:AlternateContent>
  <xr:revisionPtr revIDLastSave="0" documentId="13_ncr:1_{D602DD95-CC72-4691-90A1-FC28C59E7922}" xr6:coauthVersionLast="47" xr6:coauthVersionMax="47" xr10:uidLastSave="{00000000-0000-0000-0000-000000000000}"/>
  <bookViews>
    <workbookView xWindow="28680" yWindow="-120" windowWidth="29040" windowHeight="15720" xr2:uid="{836BA816-2F37-4226-B892-498C904600FD}"/>
  </bookViews>
  <sheets>
    <sheet name="Map" sheetId="1" r:id="rId1"/>
    <sheet name="ToDo" sheetId="3" r:id="rId2"/>
    <sheet name="Dunge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2" i="3"/>
  <c r="AB4" i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C3" i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T4" i="1"/>
  <c r="AT5" i="1" s="1"/>
  <c r="AT6" i="1" s="1"/>
  <c r="AT7" i="1" s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U3" i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G3" i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</calcChain>
</file>

<file path=xl/sharedStrings.xml><?xml version="1.0" encoding="utf-8"?>
<sst xmlns="http://schemas.openxmlformats.org/spreadsheetml/2006/main" count="159" uniqueCount="144">
  <si>
    <t>Town</t>
  </si>
  <si>
    <t>Beach</t>
  </si>
  <si>
    <t>Docks</t>
  </si>
  <si>
    <t>Water</t>
  </si>
  <si>
    <t>Story</t>
  </si>
  <si>
    <t>Farore wakes up from a ship</t>
  </si>
  <si>
    <t>She's reached a port of an island just off of Kinomi</t>
  </si>
  <si>
    <t>She wants to reach Kinomi for the birthday party but the ship stopped here first</t>
  </si>
  <si>
    <t>The captain asks her to help gather supplies for the trip to the mainland</t>
  </si>
  <si>
    <t>She has to gather for the captain's sake: a sword, a shield, and some bombs</t>
  </si>
  <si>
    <t>When she gets back, she's found that the crew has been kidnapped</t>
  </si>
  <si>
    <t>The captain, beaten, asks her to find the crew, who were taken by beasts in the night</t>
  </si>
  <si>
    <t>The crew have either been scattered to X dungeons, or they are in the first dungeon</t>
  </si>
  <si>
    <t>The townsfolk don't say much, but they complain about the terrible earthquakes on the island.</t>
  </si>
  <si>
    <t>Right after getting the last item, it turns dark. A screen before reaching the ship, a great earthquake happens</t>
  </si>
  <si>
    <t>While on her way to the first dungeon, she finds more about this island.</t>
  </si>
  <si>
    <t>After getting at least the one crew member, she decides to save the island, thinking she has enough time</t>
  </si>
  <si>
    <t>Ship</t>
  </si>
  <si>
    <t>Plain</t>
  </si>
  <si>
    <t>Swamp</t>
  </si>
  <si>
    <t>Mountains</t>
  </si>
  <si>
    <t>Mountains/Volcano</t>
  </si>
  <si>
    <t>Frozen Island</t>
  </si>
  <si>
    <t>D1</t>
  </si>
  <si>
    <t>D2</t>
  </si>
  <si>
    <t>D3</t>
  </si>
  <si>
    <t>D4</t>
  </si>
  <si>
    <t>D5</t>
  </si>
  <si>
    <t>D6</t>
  </si>
  <si>
    <t>D7</t>
  </si>
  <si>
    <t>D8</t>
  </si>
  <si>
    <t>River</t>
  </si>
  <si>
    <t>Plains</t>
  </si>
  <si>
    <t>Location</t>
  </si>
  <si>
    <t>Dungeon</t>
  </si>
  <si>
    <t>Item obtained from dungeon</t>
  </si>
  <si>
    <t>Ice Island</t>
  </si>
  <si>
    <t>Ship Graveyard</t>
  </si>
  <si>
    <t>Kinomi</t>
  </si>
  <si>
    <t>Companion region</t>
  </si>
  <si>
    <t>Farore leaves a diary in the ship</t>
  </si>
  <si>
    <t>Wasurerareta Island</t>
  </si>
  <si>
    <t>Cirrus Village</t>
  </si>
  <si>
    <t>Stratus Hot Springs</t>
  </si>
  <si>
    <t>Cumulus Heights (Forest like)</t>
  </si>
  <si>
    <t>Stream Currents</t>
  </si>
  <si>
    <t>Flurrie Fields</t>
  </si>
  <si>
    <t>Temple of the Sun</t>
  </si>
  <si>
    <t>Moonlight Ward</t>
  </si>
  <si>
    <t>Nascostti Town</t>
  </si>
  <si>
    <t>Ships' Grave</t>
  </si>
  <si>
    <t>Blizzard Badlands</t>
  </si>
  <si>
    <t>Item</t>
  </si>
  <si>
    <t>Obtained before dungeon:</t>
  </si>
  <si>
    <t>Shield</t>
  </si>
  <si>
    <t>Sword</t>
  </si>
  <si>
    <t>Bombs</t>
  </si>
  <si>
    <t>Seed satchel</t>
  </si>
  <si>
    <t>Feather</t>
  </si>
  <si>
    <t>To get items, Farore has to borrow an item from Cirrus Village</t>
  </si>
  <si>
    <t>Bracelet</t>
  </si>
  <si>
    <t>Cane of Somaria</t>
  </si>
  <si>
    <t>Boomerang</t>
  </si>
  <si>
    <t>Rod of Seasons</t>
  </si>
  <si>
    <t>Magnet Gloves</t>
  </si>
  <si>
    <t>Switch Hook</t>
  </si>
  <si>
    <t>Biggoron Sword</t>
  </si>
  <si>
    <t>Bombchus</t>
  </si>
  <si>
    <t>Flute</t>
  </si>
  <si>
    <t>Shooter</t>
  </si>
  <si>
    <t>Harp</t>
  </si>
  <si>
    <t>Slingshot</t>
  </si>
  <si>
    <t>Shovel</t>
  </si>
  <si>
    <t>Fools ore</t>
  </si>
  <si>
    <t>ember seeds</t>
  </si>
  <si>
    <t>scent seeds</t>
  </si>
  <si>
    <t>pegasus seeds</t>
  </si>
  <si>
    <t>gale seeds</t>
  </si>
  <si>
    <t>mystery seeds</t>
  </si>
  <si>
    <t>tune of echoes</t>
  </si>
  <si>
    <t>tune of currents</t>
  </si>
  <si>
    <t>tune of ages</t>
  </si>
  <si>
    <t>ring box</t>
  </si>
  <si>
    <t>flippers</t>
  </si>
  <si>
    <t>ring</t>
  </si>
  <si>
    <t>first key</t>
  </si>
  <si>
    <t>second key</t>
  </si>
  <si>
    <t>third key</t>
  </si>
  <si>
    <t>fourth key</t>
  </si>
  <si>
    <t>fifth key</t>
  </si>
  <si>
    <t>ricky gloves</t>
  </si>
  <si>
    <t>bomb flower</t>
  </si>
  <si>
    <t>mermaid suit</t>
  </si>
  <si>
    <t>slate</t>
  </si>
  <si>
    <t>tuni nut</t>
  </si>
  <si>
    <t>scent seedling</t>
  </si>
  <si>
    <t>zora scale</t>
  </si>
  <si>
    <t>tokay eyeball</t>
  </si>
  <si>
    <t>empty bottle</t>
  </si>
  <si>
    <t>fairy powder</t>
  </si>
  <si>
    <t>cheval rope</t>
  </si>
  <si>
    <t>members card</t>
  </si>
  <si>
    <t>island chart</t>
  </si>
  <si>
    <t>book of seals</t>
  </si>
  <si>
    <t>goron letter</t>
  </si>
  <si>
    <t>lava juice</t>
  </si>
  <si>
    <t>brother emblem</t>
  </si>
  <si>
    <t>goron vase</t>
  </si>
  <si>
    <t>goronade</t>
  </si>
  <si>
    <t>rock brisket</t>
  </si>
  <si>
    <t>star ore</t>
  </si>
  <si>
    <t>ribbon</t>
  </si>
  <si>
    <t>spring banana</t>
  </si>
  <si>
    <t>pirates bell</t>
  </si>
  <si>
    <t>treasure map</t>
  </si>
  <si>
    <t>first jewel</t>
  </si>
  <si>
    <t>second jewel</t>
  </si>
  <si>
    <t>third jewel</t>
  </si>
  <si>
    <t>fourth jewel</t>
  </si>
  <si>
    <t>red ore</t>
  </si>
  <si>
    <t>blue ore</t>
  </si>
  <si>
    <t>hard ore</t>
  </si>
  <si>
    <t>masters plaque</t>
  </si>
  <si>
    <t>bomb upgrade</t>
  </si>
  <si>
    <t>satchel updated</t>
  </si>
  <si>
    <t>Mountain Village</t>
  </si>
  <si>
    <t>Can summon companion and play other songs</t>
  </si>
  <si>
    <t>Get scent or mystery seeds first (?)</t>
  </si>
  <si>
    <t>Name</t>
  </si>
  <si>
    <t>Dockmaster's Quarters</t>
  </si>
  <si>
    <t>Ice Palace</t>
  </si>
  <si>
    <t>Manor</t>
  </si>
  <si>
    <t>'s Sunken Ship</t>
  </si>
  <si>
    <t>Abandoned Outpost</t>
  </si>
  <si>
    <t>N/A</t>
  </si>
  <si>
    <t>Bracelet 2</t>
  </si>
  <si>
    <t>Switch hook 2</t>
  </si>
  <si>
    <t>Step</t>
  </si>
  <si>
    <t>Update Link sprite sheet for Farore</t>
  </si>
  <si>
    <t>Sequence for rope</t>
  </si>
  <si>
    <t>Sequence for chart</t>
  </si>
  <si>
    <t>Sequence for (shield)</t>
  </si>
  <si>
    <t>Sequence for (sword)</t>
  </si>
  <si>
    <t>Magical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</si>
</sst>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9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10" borderId="0" xfId="0" applyFill="1"/>
    <xf numFmtId="0" fontId="0" fillId="10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left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5" borderId="2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/>
    <xf numFmtId="0" fontId="0" fillId="2" borderId="0" xfId="0" applyFill="1" applyAlignment="1">
      <alignment horizontal="left"/>
    </xf>
    <xf numFmtId="0" fontId="0" fillId="3" borderId="4" xfId="0" applyFill="1" applyBorder="1" applyAlignment="1">
      <alignment horizontal="center"/>
    </xf>
    <xf numFmtId="0" fontId="0" fillId="9" borderId="7" xfId="0" applyFill="1" applyBorder="1" applyAlignment="1">
      <alignment horizontal="left"/>
    </xf>
    <xf numFmtId="0" fontId="0" fillId="9" borderId="7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13" borderId="2" xfId="0" applyFill="1" applyBorder="1" applyAlignment="1">
      <alignment horizontal="left"/>
    </xf>
    <xf numFmtId="0" fontId="0" fillId="13" borderId="3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3" borderId="5" xfId="0" applyFill="1" applyBorder="1" applyAlignment="1">
      <alignment horizontal="left"/>
    </xf>
    <xf numFmtId="0" fontId="0" fillId="9" borderId="3" xfId="0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9" borderId="0" xfId="0" applyFill="1" applyAlignment="1">
      <alignment horizontal="left"/>
    </xf>
    <xf numFmtId="0" fontId="0" fillId="5" borderId="11" xfId="0" applyFill="1" applyBorder="1" applyAlignment="1">
      <alignment horizontal="left"/>
    </xf>
    <xf numFmtId="0" fontId="0" fillId="11" borderId="12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13" borderId="16" xfId="0" applyFill="1" applyBorder="1" applyAlignment="1">
      <alignment horizontal="left"/>
    </xf>
    <xf numFmtId="0" fontId="0" fillId="11" borderId="17" xfId="0" applyFill="1" applyBorder="1" applyAlignment="1">
      <alignment horizontal="left"/>
    </xf>
    <xf numFmtId="0" fontId="0" fillId="5" borderId="17" xfId="0" applyFill="1" applyBorder="1" applyAlignment="1">
      <alignment horizontal="left"/>
    </xf>
    <xf numFmtId="0" fontId="0" fillId="11" borderId="18" xfId="0" applyFill="1" applyBorder="1" applyAlignment="1">
      <alignment horizontal="left"/>
    </xf>
    <xf numFmtId="0" fontId="0" fillId="0" borderId="10" xfId="0" applyBorder="1"/>
    <xf numFmtId="0" fontId="0" fillId="7" borderId="4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2" borderId="0" xfId="0" applyFill="1"/>
    <xf numFmtId="0" fontId="0" fillId="7" borderId="0" xfId="0" applyFill="1" applyAlignment="1">
      <alignment horizontal="lef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7" borderId="11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14" xfId="0" applyFill="1" applyBorder="1" applyAlignment="1">
      <alignment horizontal="left"/>
    </xf>
    <xf numFmtId="0" fontId="0" fillId="7" borderId="15" xfId="0" applyFill="1" applyBorder="1" applyAlignment="1">
      <alignment horizontal="left"/>
    </xf>
    <xf numFmtId="0" fontId="0" fillId="7" borderId="15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19" borderId="0" xfId="0" applyFill="1"/>
    <xf numFmtId="0" fontId="0" fillId="19" borderId="2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7" borderId="19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20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8" borderId="5" xfId="0" applyFill="1" applyBorder="1" applyAlignment="1">
      <alignment horizontal="left"/>
    </xf>
    <xf numFmtId="0" fontId="0" fillId="18" borderId="7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0" xfId="0" quotePrefix="1"/>
    <xf numFmtId="0" fontId="0" fillId="11" borderId="5" xfId="0" applyFill="1" applyBorder="1" applyAlignment="1">
      <alignment horizontal="left"/>
    </xf>
    <xf numFmtId="0" fontId="0" fillId="7" borderId="22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0" fillId="7" borderId="24" xfId="0" applyFill="1" applyBorder="1" applyAlignment="1">
      <alignment horizontal="left"/>
    </xf>
    <xf numFmtId="0" fontId="1" fillId="0" borderId="0" xfId="0" applyFont="1"/>
    <xf numFmtId="0" fontId="0" fillId="14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F6A5-2004-4B78-A503-C9E8A5265B21}">
  <dimension ref="A2:BJ84"/>
  <sheetViews>
    <sheetView tabSelected="1" topLeftCell="A16" workbookViewId="0">
      <selection activeCell="B29" sqref="B29"/>
    </sheetView>
  </sheetViews>
  <sheetFormatPr defaultRowHeight="15" x14ac:dyDescent="0.25"/>
  <cols>
    <col min="1" max="1" width="15.7109375" customWidth="1"/>
    <col min="6" max="6" width="6.85546875" style="1" customWidth="1"/>
    <col min="7" max="22" width="6.85546875" style="30" customWidth="1"/>
    <col min="25" max="25" width="18.7109375" bestFit="1" customWidth="1"/>
    <col min="26" max="26" width="19.140625" customWidth="1"/>
    <col min="28" max="44" width="6.28515625" customWidth="1"/>
    <col min="47" max="62" width="7.7109375" customWidth="1"/>
  </cols>
  <sheetData>
    <row r="2" spans="1:62" ht="15.75" thickBot="1" x14ac:dyDescent="0.3">
      <c r="K2" s="30" t="s">
        <v>41</v>
      </c>
    </row>
    <row r="3" spans="1:62" ht="28.5" customHeight="1" thickTop="1" thickBot="1" x14ac:dyDescent="0.3">
      <c r="A3" t="s">
        <v>34</v>
      </c>
      <c r="B3" t="s">
        <v>33</v>
      </c>
      <c r="C3" t="s">
        <v>128</v>
      </c>
      <c r="D3" t="s">
        <v>35</v>
      </c>
      <c r="G3" s="1" t="str">
        <f>+DEC2HEX(HEX2DEC(0),2)</f>
        <v>00</v>
      </c>
      <c r="H3" s="1" t="str">
        <f>+DEC2HEX(HEX2DEC(G3)+1,2)</f>
        <v>01</v>
      </c>
      <c r="I3" s="99" t="str">
        <f t="shared" ref="I3:V3" si="0">+DEC2HEX(HEX2DEC(H3)+1,2)</f>
        <v>02</v>
      </c>
      <c r="J3" s="1" t="str">
        <f t="shared" si="0"/>
        <v>03</v>
      </c>
      <c r="K3" s="1" t="str">
        <f t="shared" si="0"/>
        <v>04</v>
      </c>
      <c r="L3" s="1" t="str">
        <f t="shared" si="0"/>
        <v>05</v>
      </c>
      <c r="M3" s="1" t="str">
        <f t="shared" si="0"/>
        <v>06</v>
      </c>
      <c r="N3" s="1" t="str">
        <f t="shared" si="0"/>
        <v>07</v>
      </c>
      <c r="O3" s="1" t="str">
        <f t="shared" si="0"/>
        <v>08</v>
      </c>
      <c r="P3" s="1" t="str">
        <f t="shared" si="0"/>
        <v>09</v>
      </c>
      <c r="Q3" s="1" t="str">
        <f t="shared" si="0"/>
        <v>0A</v>
      </c>
      <c r="R3" s="1" t="str">
        <f t="shared" si="0"/>
        <v>0B</v>
      </c>
      <c r="S3" s="1" t="str">
        <f t="shared" si="0"/>
        <v>0C</v>
      </c>
      <c r="T3" s="99" t="str">
        <f t="shared" si="0"/>
        <v>0D</v>
      </c>
      <c r="U3" s="1" t="str">
        <f t="shared" si="0"/>
        <v>0E</v>
      </c>
      <c r="V3" s="1" t="str">
        <f t="shared" si="0"/>
        <v>0F</v>
      </c>
      <c r="Y3" s="118" t="s">
        <v>39</v>
      </c>
      <c r="AB3" s="1"/>
      <c r="AC3" s="1" t="str">
        <f>+DEC2HEX(HEX2DEC(0),2)</f>
        <v>00</v>
      </c>
      <c r="AD3" s="1" t="str">
        <f>+DEC2HEX(HEX2DEC(AC3)+1,2)</f>
        <v>01</v>
      </c>
      <c r="AE3" s="1" t="str">
        <f t="shared" ref="AE3:AR3" si="1">+DEC2HEX(HEX2DEC(AD3)+1,2)</f>
        <v>02</v>
      </c>
      <c r="AF3" s="1" t="str">
        <f t="shared" si="1"/>
        <v>03</v>
      </c>
      <c r="AG3" s="1" t="str">
        <f t="shared" si="1"/>
        <v>04</v>
      </c>
      <c r="AH3" s="1" t="str">
        <f t="shared" si="1"/>
        <v>05</v>
      </c>
      <c r="AI3" s="1" t="str">
        <f t="shared" si="1"/>
        <v>06</v>
      </c>
      <c r="AJ3" s="1" t="str">
        <f t="shared" si="1"/>
        <v>07</v>
      </c>
      <c r="AK3" s="1" t="str">
        <f t="shared" si="1"/>
        <v>08</v>
      </c>
      <c r="AL3" s="1" t="str">
        <f t="shared" si="1"/>
        <v>09</v>
      </c>
      <c r="AM3" s="1" t="str">
        <f t="shared" si="1"/>
        <v>0A</v>
      </c>
      <c r="AN3" s="1" t="str">
        <f t="shared" si="1"/>
        <v>0B</v>
      </c>
      <c r="AO3" s="1" t="str">
        <f t="shared" si="1"/>
        <v>0C</v>
      </c>
      <c r="AP3" s="1" t="str">
        <f t="shared" si="1"/>
        <v>0D</v>
      </c>
      <c r="AQ3" s="1" t="str">
        <f t="shared" si="1"/>
        <v>0E</v>
      </c>
      <c r="AR3" s="1" t="str">
        <f t="shared" si="1"/>
        <v>0F</v>
      </c>
      <c r="AT3" s="1"/>
      <c r="AU3" s="1" t="str">
        <f>+DEC2HEX(HEX2DEC(0),2)</f>
        <v>00</v>
      </c>
      <c r="AV3" s="1" t="str">
        <f>+DEC2HEX(HEX2DEC(AU3)+1,2)</f>
        <v>01</v>
      </c>
      <c r="AW3" s="1" t="str">
        <f t="shared" ref="AW3:BJ3" si="2">+DEC2HEX(HEX2DEC(AV3)+1,2)</f>
        <v>02</v>
      </c>
      <c r="AX3" s="1" t="str">
        <f t="shared" si="2"/>
        <v>03</v>
      </c>
      <c r="AY3" s="1" t="str">
        <f t="shared" si="2"/>
        <v>04</v>
      </c>
      <c r="AZ3" s="1" t="str">
        <f t="shared" si="2"/>
        <v>05</v>
      </c>
      <c r="BA3" s="1" t="str">
        <f t="shared" si="2"/>
        <v>06</v>
      </c>
      <c r="BB3" s="1" t="str">
        <f t="shared" si="2"/>
        <v>07</v>
      </c>
      <c r="BC3" s="1" t="str">
        <f t="shared" si="2"/>
        <v>08</v>
      </c>
      <c r="BD3" s="1" t="str">
        <f t="shared" si="2"/>
        <v>09</v>
      </c>
      <c r="BE3" s="1" t="str">
        <f t="shared" si="2"/>
        <v>0A</v>
      </c>
      <c r="BF3" s="1" t="str">
        <f t="shared" si="2"/>
        <v>0B</v>
      </c>
      <c r="BG3" s="1" t="str">
        <f t="shared" si="2"/>
        <v>0C</v>
      </c>
      <c r="BH3" s="1" t="str">
        <f t="shared" si="2"/>
        <v>0D</v>
      </c>
      <c r="BI3" s="1" t="str">
        <f t="shared" si="2"/>
        <v>0E</v>
      </c>
      <c r="BJ3" s="1" t="str">
        <f t="shared" si="2"/>
        <v>0F</v>
      </c>
    </row>
    <row r="4" spans="1:62" ht="28.5" customHeight="1" thickTop="1" x14ac:dyDescent="0.25">
      <c r="A4">
        <v>1</v>
      </c>
      <c r="B4" t="s">
        <v>32</v>
      </c>
      <c r="D4" t="s">
        <v>57</v>
      </c>
      <c r="F4" s="1" t="str">
        <f>+DEC2HEX(HEX2DEC(0),2)</f>
        <v>00</v>
      </c>
      <c r="G4" s="55" t="s">
        <v>27</v>
      </c>
      <c r="H4" s="56"/>
      <c r="I4" s="56"/>
      <c r="J4" s="96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3"/>
      <c r="Y4" s="29" t="s">
        <v>49</v>
      </c>
      <c r="Z4" s="29" t="s">
        <v>47</v>
      </c>
      <c r="AB4" s="1" t="str">
        <f>+DEC2HEX(HEX2DEC(0),2)</f>
        <v>00</v>
      </c>
      <c r="AC4" s="139"/>
      <c r="AD4" s="140"/>
      <c r="AE4" s="140"/>
      <c r="AF4" s="157"/>
      <c r="AG4" s="121"/>
      <c r="AH4" s="121"/>
      <c r="AI4" s="121"/>
      <c r="AJ4" s="121"/>
      <c r="AK4" s="156"/>
      <c r="AL4" s="135"/>
      <c r="AM4" s="135"/>
      <c r="AN4" s="136"/>
      <c r="AO4" s="106"/>
      <c r="AP4" s="106"/>
      <c r="AQ4" s="106"/>
      <c r="AR4" s="107"/>
      <c r="AT4" s="1" t="str">
        <f>+DEC2HEX(HEX2DEC(0),2)</f>
        <v>00</v>
      </c>
      <c r="AU4" s="10"/>
      <c r="AV4" s="11"/>
      <c r="AW4" s="11"/>
      <c r="AX4" s="11"/>
      <c r="AY4" s="11"/>
      <c r="AZ4" s="11"/>
      <c r="BA4" s="11"/>
      <c r="BB4" s="11"/>
      <c r="BC4" s="11"/>
      <c r="BD4" s="11"/>
      <c r="BE4" s="15"/>
      <c r="BF4" s="15"/>
      <c r="BG4" s="15"/>
      <c r="BH4" s="15"/>
      <c r="BI4" s="15"/>
      <c r="BJ4" s="16"/>
    </row>
    <row r="5" spans="1:62" ht="28.5" customHeight="1" x14ac:dyDescent="0.25">
      <c r="A5">
        <v>2</v>
      </c>
      <c r="B5" t="s">
        <v>2</v>
      </c>
      <c r="C5" t="s">
        <v>129</v>
      </c>
      <c r="F5" s="1" t="str">
        <f>+DEC2HEX(HEX2DEC(F4)+1,2)</f>
        <v>01</v>
      </c>
      <c r="G5" s="57"/>
      <c r="H5" s="58"/>
      <c r="I5" s="58"/>
      <c r="J5" s="97"/>
      <c r="K5" s="15"/>
      <c r="L5" s="15"/>
      <c r="M5" s="75" t="s">
        <v>26</v>
      </c>
      <c r="N5" s="72"/>
      <c r="O5" s="72"/>
      <c r="P5" s="72"/>
      <c r="Q5" s="73"/>
      <c r="R5" s="15"/>
      <c r="S5" s="15"/>
      <c r="T5" s="5" t="s">
        <v>30</v>
      </c>
      <c r="U5" s="6"/>
      <c r="V5" s="17"/>
      <c r="Y5" s="2" t="s">
        <v>1</v>
      </c>
      <c r="Z5" s="124" t="s">
        <v>43</v>
      </c>
      <c r="AB5" s="1" t="str">
        <f>+DEC2HEX(HEX2DEC(AB4)+1,2)</f>
        <v>01</v>
      </c>
      <c r="AC5" s="141"/>
      <c r="AD5" s="142"/>
      <c r="AE5" s="142"/>
      <c r="AF5" s="82"/>
      <c r="AG5" s="32"/>
      <c r="AH5" s="32"/>
      <c r="AI5" s="32"/>
      <c r="AJ5" s="32"/>
      <c r="AK5" s="90"/>
      <c r="AL5" s="87"/>
      <c r="AM5" s="87"/>
      <c r="AN5" s="137"/>
      <c r="AO5" s="101"/>
      <c r="AP5" s="101"/>
      <c r="AQ5" s="101"/>
      <c r="AR5" s="102"/>
      <c r="AT5" s="1" t="str">
        <f>+DEC2HEX(HEX2DEC(AT4)+1,2)</f>
        <v>01</v>
      </c>
      <c r="AU5" s="14"/>
      <c r="AV5" s="1"/>
      <c r="AW5" s="1"/>
      <c r="AX5" s="1"/>
      <c r="AY5" s="1"/>
      <c r="AZ5" s="1"/>
      <c r="BA5" s="1"/>
      <c r="BB5" s="1"/>
      <c r="BC5" s="1"/>
      <c r="BD5" s="1"/>
      <c r="BE5" s="15"/>
      <c r="BF5" s="15"/>
      <c r="BG5" s="15"/>
      <c r="BH5" s="5"/>
      <c r="BI5" s="6"/>
      <c r="BJ5" s="17"/>
    </row>
    <row r="6" spans="1:62" ht="28.5" customHeight="1" x14ac:dyDescent="0.25">
      <c r="A6">
        <v>3</v>
      </c>
      <c r="B6" t="s">
        <v>19</v>
      </c>
      <c r="D6" t="s">
        <v>58</v>
      </c>
      <c r="F6" s="99" t="str">
        <f t="shared" ref="F6:F19" si="3">+DEC2HEX(HEX2DEC(F5)+1,2)</f>
        <v>02</v>
      </c>
      <c r="G6" s="57"/>
      <c r="H6" s="58"/>
      <c r="I6" s="58"/>
      <c r="J6" s="97"/>
      <c r="K6" s="15"/>
      <c r="L6" s="15"/>
      <c r="M6" s="76"/>
      <c r="N6" s="171"/>
      <c r="O6" s="171"/>
      <c r="P6" s="171"/>
      <c r="Q6" s="74"/>
      <c r="R6" s="47"/>
      <c r="S6" s="47"/>
      <c r="T6" s="7"/>
      <c r="U6" s="18"/>
      <c r="V6" s="19"/>
      <c r="Y6" s="27" t="s">
        <v>2</v>
      </c>
      <c r="Z6" s="122" t="s">
        <v>42</v>
      </c>
      <c r="AB6" s="1" t="str">
        <f t="shared" ref="AB6:AB19" si="4">+DEC2HEX(HEX2DEC(AB5)+1,2)</f>
        <v>02</v>
      </c>
      <c r="AC6" s="141"/>
      <c r="AD6" s="142"/>
      <c r="AE6" s="142"/>
      <c r="AF6" s="82"/>
      <c r="AG6" s="32"/>
      <c r="AH6" s="32"/>
      <c r="AI6" s="32"/>
      <c r="AJ6" s="32"/>
      <c r="AK6" s="90"/>
      <c r="AL6" s="87"/>
      <c r="AM6" s="87"/>
      <c r="AN6" s="137"/>
      <c r="AO6" s="101"/>
      <c r="AP6" s="101"/>
      <c r="AQ6" s="101"/>
      <c r="AR6" s="102"/>
      <c r="AT6" s="1" t="str">
        <f t="shared" ref="AT6:AT19" si="5">+DEC2HEX(HEX2DEC(AT5)+1,2)</f>
        <v>02</v>
      </c>
      <c r="AU6" s="14"/>
      <c r="AV6" s="1"/>
      <c r="AW6" s="1"/>
      <c r="AX6" s="1"/>
      <c r="AY6" s="1"/>
      <c r="AZ6" s="1"/>
      <c r="BA6" s="1"/>
      <c r="BB6" s="1"/>
      <c r="BC6" s="1"/>
      <c r="BD6" s="1"/>
      <c r="BE6" s="15"/>
      <c r="BF6" s="15"/>
      <c r="BG6" s="15"/>
      <c r="BH6" s="7"/>
      <c r="BI6" s="18"/>
      <c r="BJ6" s="19"/>
    </row>
    <row r="7" spans="1:62" ht="28.5" customHeight="1" x14ac:dyDescent="0.25">
      <c r="A7">
        <v>4</v>
      </c>
      <c r="B7" t="s">
        <v>20</v>
      </c>
      <c r="D7" t="s">
        <v>64</v>
      </c>
      <c r="F7" s="1" t="str">
        <f t="shared" si="3"/>
        <v>03</v>
      </c>
      <c r="G7" s="94"/>
      <c r="H7" s="95"/>
      <c r="I7" s="95"/>
      <c r="J7" s="98"/>
      <c r="K7" s="15"/>
      <c r="L7" s="15"/>
      <c r="M7" s="76"/>
      <c r="N7" s="53"/>
      <c r="O7" s="53"/>
      <c r="P7" s="53"/>
      <c r="Q7" s="74"/>
      <c r="R7" s="47"/>
      <c r="S7" s="47"/>
      <c r="T7" s="8"/>
      <c r="U7" s="9"/>
      <c r="V7" s="20"/>
      <c r="Y7" s="26" t="s">
        <v>50</v>
      </c>
      <c r="Z7" s="27" t="s">
        <v>44</v>
      </c>
      <c r="AB7" s="1" t="str">
        <f t="shared" si="4"/>
        <v>03</v>
      </c>
      <c r="AC7" s="141"/>
      <c r="AD7" s="142"/>
      <c r="AE7" s="158"/>
      <c r="AF7" s="84"/>
      <c r="AG7" s="85"/>
      <c r="AH7" s="85"/>
      <c r="AI7" s="85"/>
      <c r="AJ7" s="86"/>
      <c r="AK7" s="90"/>
      <c r="AL7" s="87"/>
      <c r="AM7" s="87"/>
      <c r="AN7" s="137"/>
      <c r="AO7" s="101"/>
      <c r="AP7" s="101"/>
      <c r="AQ7" s="101"/>
      <c r="AR7" s="102"/>
      <c r="AT7" s="1" t="str">
        <f t="shared" si="5"/>
        <v>03</v>
      </c>
      <c r="AU7" s="14"/>
      <c r="AV7" s="1"/>
      <c r="AW7" s="1"/>
      <c r="AX7" s="1"/>
      <c r="AY7" s="1"/>
      <c r="AZ7" s="1"/>
      <c r="BA7" s="1"/>
      <c r="BB7" s="1"/>
      <c r="BC7" s="1"/>
      <c r="BD7" s="1"/>
      <c r="BE7" s="15"/>
      <c r="BF7" s="15"/>
      <c r="BG7" s="15"/>
      <c r="BH7" s="8"/>
      <c r="BI7" s="9"/>
      <c r="BJ7" s="20"/>
    </row>
    <row r="8" spans="1:62" ht="28.5" customHeight="1" x14ac:dyDescent="0.25">
      <c r="A8">
        <v>5</v>
      </c>
      <c r="B8" t="s">
        <v>36</v>
      </c>
      <c r="C8" t="s">
        <v>130</v>
      </c>
      <c r="D8" t="s">
        <v>69</v>
      </c>
      <c r="F8" s="1" t="str">
        <f t="shared" si="3"/>
        <v>04</v>
      </c>
      <c r="G8" s="40"/>
      <c r="H8" s="15"/>
      <c r="I8" s="15"/>
      <c r="J8" s="15"/>
      <c r="K8" s="15"/>
      <c r="L8" s="15"/>
      <c r="M8" s="76"/>
      <c r="N8" s="53"/>
      <c r="O8" s="53"/>
      <c r="P8" s="87"/>
      <c r="Q8" s="163"/>
      <c r="R8" s="47"/>
      <c r="S8" s="47"/>
      <c r="T8" s="47"/>
      <c r="U8" s="47"/>
      <c r="V8" s="48"/>
      <c r="Y8" s="4" t="s">
        <v>38</v>
      </c>
      <c r="Z8" s="3" t="s">
        <v>45</v>
      </c>
      <c r="AB8" s="1" t="str">
        <f t="shared" si="4"/>
        <v>04</v>
      </c>
      <c r="AC8" s="141"/>
      <c r="AD8" s="160"/>
      <c r="AE8" s="15"/>
      <c r="AF8" s="15"/>
      <c r="AG8" s="15"/>
      <c r="AH8" s="15"/>
      <c r="AI8" s="15"/>
      <c r="AJ8" s="15"/>
      <c r="AK8" s="91"/>
      <c r="AL8" s="87"/>
      <c r="AM8" s="87"/>
      <c r="AN8" s="162"/>
      <c r="AO8" s="101"/>
      <c r="AP8" s="101"/>
      <c r="AQ8" s="101"/>
      <c r="AR8" s="102"/>
      <c r="AT8" s="1" t="str">
        <f t="shared" si="5"/>
        <v>04</v>
      </c>
      <c r="AU8" s="14"/>
      <c r="AV8" s="1"/>
      <c r="AW8" s="1"/>
      <c r="AX8" s="1"/>
      <c r="AY8" s="1"/>
      <c r="AZ8" s="1"/>
      <c r="BA8" s="1"/>
      <c r="BB8" s="1"/>
      <c r="BC8" s="1"/>
      <c r="BD8" s="1"/>
      <c r="BE8" s="15"/>
      <c r="BF8" s="15"/>
      <c r="BG8" s="15"/>
      <c r="BH8" s="15"/>
      <c r="BI8" s="15"/>
      <c r="BJ8" s="16"/>
    </row>
    <row r="9" spans="1:62" ht="28.5" customHeight="1" thickBot="1" x14ac:dyDescent="0.3">
      <c r="A9">
        <v>6</v>
      </c>
      <c r="B9" t="s">
        <v>0</v>
      </c>
      <c r="C9" t="s">
        <v>131</v>
      </c>
      <c r="D9" t="s">
        <v>135</v>
      </c>
      <c r="F9" s="1" t="str">
        <f t="shared" si="3"/>
        <v>05</v>
      </c>
      <c r="G9" s="40"/>
      <c r="H9" s="15"/>
      <c r="I9" s="15"/>
      <c r="J9" s="15"/>
      <c r="K9" s="34"/>
      <c r="L9" s="34"/>
      <c r="M9" s="90"/>
      <c r="N9" s="53"/>
      <c r="O9" s="53"/>
      <c r="P9" s="87"/>
      <c r="Q9" s="164"/>
      <c r="R9" s="47"/>
      <c r="S9" s="47"/>
      <c r="T9" s="47"/>
      <c r="U9" s="47"/>
      <c r="V9" s="48"/>
      <c r="Y9" s="3" t="s">
        <v>3</v>
      </c>
      <c r="Z9" s="41" t="s">
        <v>46</v>
      </c>
      <c r="AB9" s="1" t="str">
        <f t="shared" si="4"/>
        <v>05</v>
      </c>
      <c r="AC9" s="159"/>
      <c r="AD9" s="161"/>
      <c r="AE9" s="15"/>
      <c r="AF9" s="154"/>
      <c r="AG9" s="70"/>
      <c r="AH9" s="70"/>
      <c r="AI9" s="70"/>
      <c r="AJ9" s="70"/>
      <c r="AK9" s="152"/>
      <c r="AL9" s="152"/>
      <c r="AM9" s="153"/>
      <c r="AN9" s="16"/>
      <c r="AO9" s="101"/>
      <c r="AP9" s="101"/>
      <c r="AQ9" s="101"/>
      <c r="AR9" s="102"/>
      <c r="AT9" s="1" t="str">
        <f t="shared" si="5"/>
        <v>05</v>
      </c>
      <c r="AU9" s="14"/>
      <c r="AV9" s="1"/>
      <c r="AW9" s="1"/>
      <c r="AX9" s="1"/>
      <c r="AY9" s="1"/>
      <c r="AZ9" s="1"/>
      <c r="BA9" s="1"/>
      <c r="BB9" s="1"/>
      <c r="BC9" s="1"/>
      <c r="BD9" s="1"/>
      <c r="BE9" s="15"/>
      <c r="BF9" s="15"/>
      <c r="BG9" s="15"/>
      <c r="BH9" s="15"/>
      <c r="BI9" s="15"/>
      <c r="BJ9" s="16"/>
    </row>
    <row r="10" spans="1:62" ht="28.5" customHeight="1" thickTop="1" x14ac:dyDescent="0.25">
      <c r="A10">
        <v>7</v>
      </c>
      <c r="B10" t="s">
        <v>37</v>
      </c>
      <c r="C10" s="165" t="s">
        <v>132</v>
      </c>
      <c r="D10" t="s">
        <v>136</v>
      </c>
      <c r="F10" s="1" t="str">
        <f t="shared" si="3"/>
        <v>06</v>
      </c>
      <c r="G10" s="40"/>
      <c r="H10" s="15"/>
      <c r="I10" s="78"/>
      <c r="J10" s="77"/>
      <c r="K10" s="77"/>
      <c r="L10" s="77"/>
      <c r="M10" s="109"/>
      <c r="N10" s="110"/>
      <c r="O10" s="110"/>
      <c r="P10" s="111"/>
      <c r="Q10" s="70"/>
      <c r="R10" s="70"/>
      <c r="S10" s="70"/>
      <c r="T10" s="71" t="s">
        <v>23</v>
      </c>
      <c r="U10" s="47"/>
      <c r="V10" s="48"/>
      <c r="Y10" s="37" t="s">
        <v>17</v>
      </c>
      <c r="Z10" s="25" t="s">
        <v>48</v>
      </c>
      <c r="AB10" s="1" t="str">
        <f t="shared" si="4"/>
        <v>06</v>
      </c>
      <c r="AC10" s="40"/>
      <c r="AD10" s="15"/>
      <c r="AE10" s="31"/>
      <c r="AF10" s="155"/>
      <c r="AG10" s="134"/>
      <c r="AH10" s="134"/>
      <c r="AI10" s="134"/>
      <c r="AJ10" s="134"/>
      <c r="AK10" s="125"/>
      <c r="AL10" s="125"/>
      <c r="AM10" s="150"/>
      <c r="AN10" s="16"/>
      <c r="AO10" s="101"/>
      <c r="AP10" s="101"/>
      <c r="AQ10" s="101"/>
      <c r="AR10" s="102"/>
      <c r="AT10" s="1" t="str">
        <f t="shared" si="5"/>
        <v>06</v>
      </c>
      <c r="AU10" s="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21"/>
    </row>
    <row r="11" spans="1:62" ht="28.5" customHeight="1" thickBot="1" x14ac:dyDescent="0.3">
      <c r="A11">
        <v>8</v>
      </c>
      <c r="B11" t="s">
        <v>38</v>
      </c>
      <c r="C11" t="s">
        <v>133</v>
      </c>
      <c r="D11" t="s">
        <v>143</v>
      </c>
      <c r="F11" s="1" t="str">
        <f t="shared" si="3"/>
        <v>07</v>
      </c>
      <c r="G11" s="40"/>
      <c r="H11" s="15"/>
      <c r="I11" s="79" t="s">
        <v>25</v>
      </c>
      <c r="J11" s="52"/>
      <c r="K11" s="52"/>
      <c r="L11" s="88"/>
      <c r="M11" s="112"/>
      <c r="N11" s="88"/>
      <c r="O11" s="88"/>
      <c r="P11" s="113"/>
      <c r="Q11" s="42"/>
      <c r="R11" s="42"/>
      <c r="S11" s="42"/>
      <c r="T11" s="64"/>
      <c r="U11" s="47"/>
      <c r="V11" s="48"/>
      <c r="Y11" s="59" t="s">
        <v>22</v>
      </c>
      <c r="Z11" s="138" t="s">
        <v>51</v>
      </c>
      <c r="AB11" s="1" t="str">
        <f t="shared" si="4"/>
        <v>07</v>
      </c>
      <c r="AC11" s="40"/>
      <c r="AD11" s="15"/>
      <c r="AE11" s="31"/>
      <c r="AF11" s="155"/>
      <c r="AG11" s="134"/>
      <c r="AH11" s="134"/>
      <c r="AI11" s="134"/>
      <c r="AJ11" s="134"/>
      <c r="AK11" s="125"/>
      <c r="AL11" s="125"/>
      <c r="AM11" s="150"/>
      <c r="AN11" s="16"/>
      <c r="AO11" s="101"/>
      <c r="AP11" s="101"/>
      <c r="AQ11" s="101"/>
      <c r="AR11" s="102"/>
      <c r="AT11" s="1" t="str">
        <f t="shared" si="5"/>
        <v>07</v>
      </c>
      <c r="AU11" s="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21"/>
    </row>
    <row r="12" spans="1:62" ht="28.5" customHeight="1" thickTop="1" thickBot="1" x14ac:dyDescent="0.3">
      <c r="F12" s="1" t="str">
        <f t="shared" si="3"/>
        <v>08</v>
      </c>
      <c r="G12" s="40"/>
      <c r="H12" s="15"/>
      <c r="I12" s="79"/>
      <c r="J12" s="52"/>
      <c r="K12" s="52"/>
      <c r="L12" s="52"/>
      <c r="M12" s="114"/>
      <c r="N12" s="115"/>
      <c r="O12" s="116"/>
      <c r="P12" s="117"/>
      <c r="Q12" s="68"/>
      <c r="R12" s="68"/>
      <c r="S12" s="68"/>
      <c r="T12" s="69"/>
      <c r="U12" s="93"/>
      <c r="V12" s="48"/>
      <c r="Y12" s="41" t="s">
        <v>18</v>
      </c>
      <c r="AB12" s="1" t="str">
        <f t="shared" si="4"/>
        <v>08</v>
      </c>
      <c r="AC12" s="126"/>
      <c r="AD12" s="127"/>
      <c r="AE12" s="127"/>
      <c r="AF12" s="167"/>
      <c r="AG12" s="168"/>
      <c r="AH12" s="168"/>
      <c r="AI12" s="169"/>
      <c r="AJ12" s="166"/>
      <c r="AK12" s="149"/>
      <c r="AL12" s="149"/>
      <c r="AM12" s="151"/>
      <c r="AN12" s="16"/>
      <c r="AO12" s="101"/>
      <c r="AP12" s="101"/>
      <c r="AQ12" s="101"/>
      <c r="AR12" s="102"/>
      <c r="AT12" s="1" t="str">
        <f t="shared" si="5"/>
        <v>08</v>
      </c>
      <c r="AU12" s="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21"/>
    </row>
    <row r="13" spans="1:62" ht="28.5" customHeight="1" thickTop="1" x14ac:dyDescent="0.25">
      <c r="A13" t="s">
        <v>52</v>
      </c>
      <c r="B13" t="s">
        <v>53</v>
      </c>
      <c r="F13" s="1" t="str">
        <f t="shared" si="3"/>
        <v>09</v>
      </c>
      <c r="G13" s="40"/>
      <c r="H13" s="15"/>
      <c r="I13" s="79"/>
      <c r="J13" s="52"/>
      <c r="K13" s="52"/>
      <c r="L13" s="83"/>
      <c r="M13" s="108"/>
      <c r="N13" s="108"/>
      <c r="O13" s="88"/>
      <c r="P13" s="62"/>
      <c r="Q13" s="34"/>
      <c r="R13" s="34"/>
      <c r="S13" s="34"/>
      <c r="T13" s="47"/>
      <c r="U13" s="93"/>
      <c r="V13" s="48"/>
      <c r="Y13" s="51" t="s">
        <v>19</v>
      </c>
      <c r="AB13" s="1" t="str">
        <f t="shared" si="4"/>
        <v>09</v>
      </c>
      <c r="AC13" s="129"/>
      <c r="AD13" s="123"/>
      <c r="AE13" s="123"/>
      <c r="AF13" s="123"/>
      <c r="AG13" s="123"/>
      <c r="AH13" s="123"/>
      <c r="AI13" s="130"/>
      <c r="AJ13" s="31"/>
      <c r="AK13" s="31"/>
      <c r="AL13" s="31"/>
      <c r="AM13" s="15"/>
      <c r="AN13" s="16"/>
      <c r="AO13" s="101"/>
      <c r="AP13" s="101"/>
      <c r="AQ13" s="101"/>
      <c r="AR13" s="102"/>
      <c r="AT13" s="1" t="str">
        <f t="shared" si="5"/>
        <v>09</v>
      </c>
      <c r="AU13" s="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21"/>
    </row>
    <row r="14" spans="1:62" ht="28.5" customHeight="1" thickBot="1" x14ac:dyDescent="0.3">
      <c r="A14" t="s">
        <v>54</v>
      </c>
      <c r="B14">
        <v>1</v>
      </c>
      <c r="F14" s="1" t="str">
        <f t="shared" si="3"/>
        <v>0A</v>
      </c>
      <c r="G14" s="40"/>
      <c r="H14" s="15"/>
      <c r="I14" s="79"/>
      <c r="J14" s="52"/>
      <c r="K14" s="52"/>
      <c r="L14" s="82"/>
      <c r="M14" s="32"/>
      <c r="N14" s="32"/>
      <c r="O14" s="87"/>
      <c r="P14" s="63"/>
      <c r="Q14" s="34"/>
      <c r="R14" s="34"/>
      <c r="S14" s="34"/>
      <c r="T14" s="47"/>
      <c r="U14" s="93"/>
      <c r="V14" s="48"/>
      <c r="Y14" s="54" t="s">
        <v>21</v>
      </c>
      <c r="AB14" s="1" t="str">
        <f t="shared" si="4"/>
        <v>0A</v>
      </c>
      <c r="AC14" s="129"/>
      <c r="AD14" s="123"/>
      <c r="AE14" s="123"/>
      <c r="AF14" s="123"/>
      <c r="AG14" s="123"/>
      <c r="AH14" s="33"/>
      <c r="AI14" s="131"/>
      <c r="AJ14" s="146"/>
      <c r="AK14" s="147"/>
      <c r="AL14" s="147"/>
      <c r="AM14" s="147"/>
      <c r="AN14" s="148"/>
      <c r="AO14" s="101"/>
      <c r="AP14" s="101"/>
      <c r="AQ14" s="101"/>
      <c r="AR14" s="102"/>
      <c r="AT14" s="1" t="str">
        <f t="shared" si="5"/>
        <v>0A</v>
      </c>
      <c r="AU14" s="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21"/>
    </row>
    <row r="15" spans="1:62" ht="28.5" customHeight="1" thickTop="1" x14ac:dyDescent="0.25">
      <c r="A15" t="s">
        <v>56</v>
      </c>
      <c r="B15">
        <v>1</v>
      </c>
      <c r="F15" s="1" t="str">
        <f t="shared" si="3"/>
        <v>0B</v>
      </c>
      <c r="G15" s="40"/>
      <c r="H15" s="15"/>
      <c r="I15" s="80"/>
      <c r="J15" s="81"/>
      <c r="K15" s="81"/>
      <c r="L15" s="82"/>
      <c r="M15" s="32"/>
      <c r="N15" s="87"/>
      <c r="O15" s="87"/>
      <c r="P15" s="63"/>
      <c r="Q15" s="66"/>
      <c r="R15" s="66"/>
      <c r="S15" s="67" t="s">
        <v>24</v>
      </c>
      <c r="T15" s="92"/>
      <c r="U15" s="47"/>
      <c r="V15" s="48"/>
      <c r="Y15" s="25" t="s">
        <v>31</v>
      </c>
      <c r="AB15" s="1" t="str">
        <f t="shared" si="4"/>
        <v>0B</v>
      </c>
      <c r="AC15" s="143"/>
      <c r="AD15" s="127"/>
      <c r="AE15" s="128"/>
      <c r="AF15" s="123"/>
      <c r="AG15" s="123"/>
      <c r="AH15" s="33"/>
      <c r="AI15" s="131"/>
      <c r="AJ15" s="43"/>
      <c r="AK15" s="43"/>
      <c r="AL15" s="43"/>
      <c r="AM15" s="43"/>
      <c r="AN15" s="44"/>
      <c r="AO15" s="101"/>
      <c r="AP15" s="101"/>
      <c r="AQ15" s="101"/>
      <c r="AR15" s="102"/>
      <c r="AT15" s="1" t="str">
        <f t="shared" si="5"/>
        <v>0B</v>
      </c>
      <c r="AU15" s="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21"/>
    </row>
    <row r="16" spans="1:62" ht="28.5" customHeight="1" x14ac:dyDescent="0.25">
      <c r="A16" t="s">
        <v>61</v>
      </c>
      <c r="F16" s="1" t="str">
        <f t="shared" si="3"/>
        <v>0C</v>
      </c>
      <c r="G16" s="40"/>
      <c r="H16" s="15"/>
      <c r="I16" s="60"/>
      <c r="J16" s="60"/>
      <c r="K16" s="60"/>
      <c r="L16" s="82"/>
      <c r="M16" s="32"/>
      <c r="N16" s="87"/>
      <c r="O16" s="32"/>
      <c r="P16" s="63"/>
      <c r="Q16" s="33"/>
      <c r="R16" s="33"/>
      <c r="S16" s="65"/>
      <c r="T16" s="47"/>
      <c r="U16" s="47"/>
      <c r="V16" s="48"/>
      <c r="Y16" s="28" t="s">
        <v>125</v>
      </c>
      <c r="AB16" s="1" t="str">
        <f t="shared" si="4"/>
        <v>0C</v>
      </c>
      <c r="AC16" s="144"/>
      <c r="AD16" s="123"/>
      <c r="AE16" s="130"/>
      <c r="AF16" s="123"/>
      <c r="AG16" s="123"/>
      <c r="AH16" s="33"/>
      <c r="AI16" s="131"/>
      <c r="AJ16" s="43"/>
      <c r="AK16" s="43"/>
      <c r="AL16" s="43"/>
      <c r="AM16" s="43"/>
      <c r="AN16" s="44"/>
      <c r="AO16" s="101"/>
      <c r="AP16" s="101"/>
      <c r="AQ16" s="101"/>
      <c r="AR16" s="102"/>
      <c r="AT16" s="1" t="str">
        <f t="shared" si="5"/>
        <v>0C</v>
      </c>
      <c r="AU16" s="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21"/>
    </row>
    <row r="17" spans="1:62" ht="28.5" customHeight="1" thickBot="1" x14ac:dyDescent="0.3">
      <c r="A17" t="s">
        <v>55</v>
      </c>
      <c r="B17">
        <v>1</v>
      </c>
      <c r="F17" s="1" t="str">
        <f t="shared" si="3"/>
        <v>0D</v>
      </c>
      <c r="G17" s="40"/>
      <c r="H17" s="15"/>
      <c r="I17" s="15"/>
      <c r="J17" s="15"/>
      <c r="K17" s="15"/>
      <c r="L17" s="82" t="s">
        <v>28</v>
      </c>
      <c r="M17" s="32"/>
      <c r="N17" s="87"/>
      <c r="O17" s="32"/>
      <c r="P17" s="63"/>
      <c r="Q17" s="33"/>
      <c r="R17" s="33"/>
      <c r="S17" s="65"/>
      <c r="T17" s="47"/>
      <c r="U17" s="47"/>
      <c r="V17" s="48"/>
      <c r="AB17" s="1" t="str">
        <f t="shared" si="4"/>
        <v>0D</v>
      </c>
      <c r="AC17" s="119"/>
      <c r="AD17" s="36"/>
      <c r="AE17" s="145"/>
      <c r="AF17" s="132"/>
      <c r="AG17" s="132"/>
      <c r="AH17" s="132"/>
      <c r="AI17" s="133"/>
      <c r="AJ17" s="45"/>
      <c r="AK17" s="45"/>
      <c r="AL17" s="45"/>
      <c r="AM17" s="45"/>
      <c r="AN17" s="46"/>
      <c r="AO17" s="101"/>
      <c r="AP17" s="101"/>
      <c r="AQ17" s="101"/>
      <c r="AR17" s="102"/>
      <c r="AT17" s="1" t="str">
        <f t="shared" si="5"/>
        <v>0D</v>
      </c>
      <c r="AU17" s="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21"/>
    </row>
    <row r="18" spans="1:62" ht="28.5" customHeight="1" thickTop="1" x14ac:dyDescent="0.25">
      <c r="A18" t="s">
        <v>62</v>
      </c>
      <c r="B18">
        <v>2</v>
      </c>
      <c r="F18" s="1" t="str">
        <f t="shared" si="3"/>
        <v>0E</v>
      </c>
      <c r="G18" s="40"/>
      <c r="H18" s="15"/>
      <c r="I18" s="15"/>
      <c r="J18" s="15"/>
      <c r="K18" s="15"/>
      <c r="L18" s="84"/>
      <c r="M18" s="85"/>
      <c r="N18" s="89"/>
      <c r="O18" s="85"/>
      <c r="P18" s="86"/>
      <c r="Q18" s="33"/>
      <c r="R18" s="36"/>
      <c r="S18" s="65"/>
      <c r="T18" s="47"/>
      <c r="U18" s="47" t="s">
        <v>29</v>
      </c>
      <c r="V18" s="48"/>
      <c r="AB18" s="1" t="str">
        <f t="shared" si="4"/>
        <v>0E</v>
      </c>
      <c r="AC18" s="100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2"/>
      <c r="AT18" s="1" t="str">
        <f t="shared" si="5"/>
        <v>0E</v>
      </c>
      <c r="AU18" s="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21"/>
    </row>
    <row r="19" spans="1:62" ht="28.5" customHeight="1" x14ac:dyDescent="0.25">
      <c r="A19" t="s">
        <v>63</v>
      </c>
      <c r="F19" s="99" t="str">
        <f t="shared" si="3"/>
        <v>0F</v>
      </c>
      <c r="G19" s="61"/>
      <c r="H19" s="39"/>
      <c r="I19" s="39"/>
      <c r="J19" s="39"/>
      <c r="K19" s="39"/>
      <c r="L19" s="35"/>
      <c r="M19" s="35"/>
      <c r="N19" s="89"/>
      <c r="O19" s="35"/>
      <c r="P19" s="35"/>
      <c r="Q19" s="120"/>
      <c r="R19" s="38"/>
      <c r="S19" s="120"/>
      <c r="T19" s="49"/>
      <c r="U19" s="49"/>
      <c r="V19" s="50"/>
      <c r="AB19" s="1" t="str">
        <f t="shared" si="4"/>
        <v>0F</v>
      </c>
      <c r="AC19" s="103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5"/>
      <c r="AT19" s="1" t="str">
        <f t="shared" si="5"/>
        <v>0F</v>
      </c>
      <c r="AU19" s="22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4"/>
    </row>
    <row r="20" spans="1:62" x14ac:dyDescent="0.25">
      <c r="A20" t="s">
        <v>64</v>
      </c>
      <c r="B20">
        <v>5</v>
      </c>
    </row>
    <row r="21" spans="1:62" x14ac:dyDescent="0.25">
      <c r="A21" t="s">
        <v>65</v>
      </c>
      <c r="B21">
        <v>8</v>
      </c>
    </row>
    <row r="22" spans="1:62" x14ac:dyDescent="0.25">
      <c r="A22" t="s">
        <v>66</v>
      </c>
    </row>
    <row r="23" spans="1:62" x14ac:dyDescent="0.25">
      <c r="A23" t="s">
        <v>67</v>
      </c>
    </row>
    <row r="24" spans="1:62" x14ac:dyDescent="0.25">
      <c r="A24" t="s">
        <v>68</v>
      </c>
      <c r="B24">
        <v>3</v>
      </c>
      <c r="C24" t="s">
        <v>126</v>
      </c>
      <c r="G24" s="30" t="s">
        <v>4</v>
      </c>
    </row>
    <row r="25" spans="1:62" x14ac:dyDescent="0.25">
      <c r="A25" t="s">
        <v>69</v>
      </c>
      <c r="B25">
        <v>6</v>
      </c>
      <c r="G25" s="30" t="s">
        <v>5</v>
      </c>
    </row>
    <row r="26" spans="1:62" x14ac:dyDescent="0.25">
      <c r="A26" t="s">
        <v>70</v>
      </c>
      <c r="G26" s="30" t="s">
        <v>6</v>
      </c>
    </row>
    <row r="27" spans="1:62" x14ac:dyDescent="0.25">
      <c r="A27" t="s">
        <v>71</v>
      </c>
      <c r="B27" t="s">
        <v>134</v>
      </c>
      <c r="G27" s="30" t="s">
        <v>7</v>
      </c>
    </row>
    <row r="28" spans="1:62" x14ac:dyDescent="0.25">
      <c r="A28" t="s">
        <v>72</v>
      </c>
      <c r="B28">
        <v>5</v>
      </c>
      <c r="G28" s="30" t="s">
        <v>8</v>
      </c>
    </row>
    <row r="29" spans="1:62" x14ac:dyDescent="0.25">
      <c r="A29" t="s">
        <v>60</v>
      </c>
      <c r="B29">
        <v>2</v>
      </c>
    </row>
    <row r="30" spans="1:62" x14ac:dyDescent="0.25">
      <c r="A30" t="s">
        <v>58</v>
      </c>
      <c r="B30">
        <v>4</v>
      </c>
      <c r="G30" s="30" t="s">
        <v>9</v>
      </c>
    </row>
    <row r="31" spans="1:62" x14ac:dyDescent="0.25">
      <c r="A31" t="s">
        <v>57</v>
      </c>
      <c r="B31">
        <v>2</v>
      </c>
      <c r="C31" t="s">
        <v>127</v>
      </c>
      <c r="G31" s="30" t="s">
        <v>13</v>
      </c>
    </row>
    <row r="32" spans="1:62" x14ac:dyDescent="0.25">
      <c r="A32" t="s">
        <v>73</v>
      </c>
      <c r="G32" s="30" t="s">
        <v>14</v>
      </c>
    </row>
    <row r="33" spans="1:7" x14ac:dyDescent="0.25">
      <c r="A33" t="s">
        <v>74</v>
      </c>
      <c r="B33">
        <v>3</v>
      </c>
      <c r="G33" s="30" t="s">
        <v>10</v>
      </c>
    </row>
    <row r="34" spans="1:7" x14ac:dyDescent="0.25">
      <c r="A34" t="s">
        <v>75</v>
      </c>
      <c r="B34">
        <v>2</v>
      </c>
      <c r="G34" s="30" t="s">
        <v>11</v>
      </c>
    </row>
    <row r="35" spans="1:7" x14ac:dyDescent="0.25">
      <c r="A35" t="s">
        <v>76</v>
      </c>
      <c r="B35">
        <v>3</v>
      </c>
    </row>
    <row r="36" spans="1:7" x14ac:dyDescent="0.25">
      <c r="A36" t="s">
        <v>77</v>
      </c>
      <c r="B36">
        <v>5</v>
      </c>
      <c r="G36" s="30" t="s">
        <v>12</v>
      </c>
    </row>
    <row r="37" spans="1:7" x14ac:dyDescent="0.25">
      <c r="A37" t="s">
        <v>78</v>
      </c>
      <c r="B37">
        <v>2</v>
      </c>
      <c r="G37" s="30" t="s">
        <v>15</v>
      </c>
    </row>
    <row r="38" spans="1:7" x14ac:dyDescent="0.25">
      <c r="A38" t="s">
        <v>79</v>
      </c>
      <c r="B38" t="s">
        <v>134</v>
      </c>
    </row>
    <row r="39" spans="1:7" x14ac:dyDescent="0.25">
      <c r="A39" t="s">
        <v>80</v>
      </c>
      <c r="B39" t="s">
        <v>134</v>
      </c>
    </row>
    <row r="40" spans="1:7" x14ac:dyDescent="0.25">
      <c r="A40" t="s">
        <v>81</v>
      </c>
      <c r="B40" t="s">
        <v>134</v>
      </c>
    </row>
    <row r="41" spans="1:7" x14ac:dyDescent="0.25">
      <c r="A41" t="s">
        <v>82</v>
      </c>
      <c r="B41">
        <v>1</v>
      </c>
      <c r="G41" s="30" t="s">
        <v>16</v>
      </c>
    </row>
    <row r="42" spans="1:7" x14ac:dyDescent="0.25">
      <c r="A42" t="s">
        <v>84</v>
      </c>
    </row>
    <row r="43" spans="1:7" x14ac:dyDescent="0.25">
      <c r="A43" t="s">
        <v>83</v>
      </c>
      <c r="B43">
        <v>4</v>
      </c>
    </row>
    <row r="44" spans="1:7" x14ac:dyDescent="0.25">
      <c r="A44" t="s">
        <v>85</v>
      </c>
      <c r="G44" s="30" t="s">
        <v>40</v>
      </c>
    </row>
    <row r="45" spans="1:7" x14ac:dyDescent="0.25">
      <c r="A45" t="s">
        <v>86</v>
      </c>
    </row>
    <row r="46" spans="1:7" x14ac:dyDescent="0.25">
      <c r="A46" t="s">
        <v>87</v>
      </c>
      <c r="G46" s="30" t="s">
        <v>59</v>
      </c>
    </row>
    <row r="47" spans="1:7" x14ac:dyDescent="0.25">
      <c r="A47" t="s">
        <v>88</v>
      </c>
    </row>
    <row r="48" spans="1:7" x14ac:dyDescent="0.25">
      <c r="A48" t="s">
        <v>89</v>
      </c>
    </row>
    <row r="49" spans="1:2" x14ac:dyDescent="0.25">
      <c r="A49" t="s">
        <v>90</v>
      </c>
    </row>
    <row r="50" spans="1:2" x14ac:dyDescent="0.25">
      <c r="A50" t="s">
        <v>91</v>
      </c>
    </row>
    <row r="51" spans="1:2" x14ac:dyDescent="0.25">
      <c r="A51" t="s">
        <v>92</v>
      </c>
      <c r="B51">
        <v>7</v>
      </c>
    </row>
    <row r="52" spans="1:2" x14ac:dyDescent="0.25">
      <c r="A52" t="s">
        <v>93</v>
      </c>
    </row>
    <row r="53" spans="1:2" x14ac:dyDescent="0.25">
      <c r="A53" t="s">
        <v>94</v>
      </c>
    </row>
    <row r="54" spans="1:2" x14ac:dyDescent="0.25">
      <c r="A54" t="s">
        <v>95</v>
      </c>
    </row>
    <row r="55" spans="1:2" x14ac:dyDescent="0.25">
      <c r="A55" t="s">
        <v>96</v>
      </c>
    </row>
    <row r="56" spans="1:2" x14ac:dyDescent="0.25">
      <c r="A56" t="s">
        <v>97</v>
      </c>
    </row>
    <row r="57" spans="1:2" x14ac:dyDescent="0.25">
      <c r="A57" t="s">
        <v>98</v>
      </c>
    </row>
    <row r="58" spans="1:2" x14ac:dyDescent="0.25">
      <c r="A58" t="s">
        <v>99</v>
      </c>
    </row>
    <row r="59" spans="1:2" x14ac:dyDescent="0.25">
      <c r="A59" t="s">
        <v>100</v>
      </c>
    </row>
    <row r="60" spans="1:2" x14ac:dyDescent="0.25">
      <c r="A60" t="s">
        <v>101</v>
      </c>
    </row>
    <row r="61" spans="1:2" x14ac:dyDescent="0.25">
      <c r="A61" t="s">
        <v>102</v>
      </c>
    </row>
    <row r="62" spans="1:2" x14ac:dyDescent="0.25">
      <c r="A62" t="s">
        <v>103</v>
      </c>
    </row>
    <row r="63" spans="1:2" x14ac:dyDescent="0.25">
      <c r="A63" t="s">
        <v>104</v>
      </c>
    </row>
    <row r="64" spans="1:2" x14ac:dyDescent="0.25">
      <c r="A64" t="s">
        <v>105</v>
      </c>
    </row>
    <row r="65" spans="1:1" x14ac:dyDescent="0.25">
      <c r="A65" t="s">
        <v>106</v>
      </c>
    </row>
    <row r="66" spans="1:1" x14ac:dyDescent="0.25">
      <c r="A66" t="s">
        <v>107</v>
      </c>
    </row>
    <row r="67" spans="1:1" x14ac:dyDescent="0.25">
      <c r="A67" t="s">
        <v>108</v>
      </c>
    </row>
    <row r="68" spans="1:1" x14ac:dyDescent="0.25">
      <c r="A68" t="s">
        <v>109</v>
      </c>
    </row>
    <row r="69" spans="1:1" x14ac:dyDescent="0.25">
      <c r="A69" t="s">
        <v>110</v>
      </c>
    </row>
    <row r="70" spans="1:1" x14ac:dyDescent="0.25">
      <c r="A70" t="s">
        <v>111</v>
      </c>
    </row>
    <row r="71" spans="1:1" x14ac:dyDescent="0.25">
      <c r="A71" t="s">
        <v>112</v>
      </c>
    </row>
    <row r="72" spans="1:1" x14ac:dyDescent="0.25">
      <c r="A72" t="s">
        <v>113</v>
      </c>
    </row>
    <row r="73" spans="1:1" x14ac:dyDescent="0.25">
      <c r="A73" t="s">
        <v>114</v>
      </c>
    </row>
    <row r="74" spans="1:1" x14ac:dyDescent="0.25">
      <c r="A74" t="s">
        <v>115</v>
      </c>
    </row>
    <row r="75" spans="1:1" x14ac:dyDescent="0.25">
      <c r="A75" t="s">
        <v>116</v>
      </c>
    </row>
    <row r="76" spans="1:1" x14ac:dyDescent="0.25">
      <c r="A76" t="s">
        <v>117</v>
      </c>
    </row>
    <row r="77" spans="1:1" x14ac:dyDescent="0.25">
      <c r="A77" t="s">
        <v>118</v>
      </c>
    </row>
    <row r="78" spans="1:1" x14ac:dyDescent="0.25">
      <c r="A78" t="s">
        <v>119</v>
      </c>
    </row>
    <row r="79" spans="1:1" x14ac:dyDescent="0.25">
      <c r="A79" t="s">
        <v>120</v>
      </c>
    </row>
    <row r="80" spans="1:1" x14ac:dyDescent="0.25">
      <c r="A80" t="s">
        <v>121</v>
      </c>
    </row>
    <row r="81" spans="1:1" x14ac:dyDescent="0.25">
      <c r="A81" t="s">
        <v>101</v>
      </c>
    </row>
    <row r="82" spans="1:1" x14ac:dyDescent="0.25">
      <c r="A82" t="s">
        <v>122</v>
      </c>
    </row>
    <row r="83" spans="1:1" x14ac:dyDescent="0.25">
      <c r="A83" t="s">
        <v>123</v>
      </c>
    </row>
    <row r="84" spans="1:1" x14ac:dyDescent="0.25">
      <c r="A84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6656-6753-4CD3-A5ED-2A41A7BD7065}">
  <dimension ref="A1:B13"/>
  <sheetViews>
    <sheetView workbookViewId="0">
      <selection activeCell="D37" sqref="D37"/>
    </sheetView>
  </sheetViews>
  <sheetFormatPr defaultRowHeight="15" x14ac:dyDescent="0.25"/>
  <sheetData>
    <row r="1" spans="1:2" x14ac:dyDescent="0.25">
      <c r="A1" t="s">
        <v>137</v>
      </c>
    </row>
    <row r="2" spans="1:2" x14ac:dyDescent="0.25">
      <c r="A2">
        <f>+ROW(A2)-1</f>
        <v>1</v>
      </c>
      <c r="B2" t="s">
        <v>138</v>
      </c>
    </row>
    <row r="3" spans="1:2" x14ac:dyDescent="0.25">
      <c r="A3">
        <f t="shared" ref="A3:A13" si="0">+ROW(A3)-1</f>
        <v>2</v>
      </c>
      <c r="B3" s="170" t="s">
        <v>139</v>
      </c>
    </row>
    <row r="4" spans="1:2" x14ac:dyDescent="0.25">
      <c r="A4">
        <f t="shared" si="0"/>
        <v>3</v>
      </c>
      <c r="B4" t="s">
        <v>140</v>
      </c>
    </row>
    <row r="5" spans="1:2" x14ac:dyDescent="0.25">
      <c r="A5">
        <f t="shared" si="0"/>
        <v>4</v>
      </c>
      <c r="B5" t="s">
        <v>141</v>
      </c>
    </row>
    <row r="6" spans="1:2" x14ac:dyDescent="0.25">
      <c r="A6">
        <f t="shared" si="0"/>
        <v>5</v>
      </c>
      <c r="B6" t="s">
        <v>142</v>
      </c>
    </row>
    <row r="7" spans="1:2" x14ac:dyDescent="0.25">
      <c r="A7">
        <f t="shared" si="0"/>
        <v>6</v>
      </c>
    </row>
    <row r="8" spans="1:2" x14ac:dyDescent="0.25">
      <c r="A8">
        <f t="shared" si="0"/>
        <v>7</v>
      </c>
    </row>
    <row r="9" spans="1:2" x14ac:dyDescent="0.25">
      <c r="A9">
        <f t="shared" si="0"/>
        <v>8</v>
      </c>
    </row>
    <row r="10" spans="1:2" x14ac:dyDescent="0.25">
      <c r="A10">
        <f t="shared" si="0"/>
        <v>9</v>
      </c>
    </row>
    <row r="11" spans="1:2" x14ac:dyDescent="0.25">
      <c r="A11">
        <f t="shared" si="0"/>
        <v>10</v>
      </c>
    </row>
    <row r="12" spans="1:2" x14ac:dyDescent="0.25">
      <c r="A12">
        <f t="shared" si="0"/>
        <v>11</v>
      </c>
    </row>
    <row r="13" spans="1:2" x14ac:dyDescent="0.25">
      <c r="A13">
        <f t="shared" si="0"/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6CCA-EB70-495C-AA0B-A519EDED3721}">
  <dimension ref="B2:D10"/>
  <sheetViews>
    <sheetView workbookViewId="0">
      <selection activeCell="C6" sqref="C6"/>
    </sheetView>
  </sheetViews>
  <sheetFormatPr defaultRowHeight="15" x14ac:dyDescent="0.25"/>
  <cols>
    <col min="4" max="4" width="13.28515625" bestFit="1" customWidth="1"/>
  </cols>
  <sheetData>
    <row r="2" spans="2:4" x14ac:dyDescent="0.25">
      <c r="B2" t="s">
        <v>34</v>
      </c>
      <c r="C2" t="s">
        <v>33</v>
      </c>
      <c r="D2" t="s">
        <v>35</v>
      </c>
    </row>
    <row r="3" spans="2:4" x14ac:dyDescent="0.25">
      <c r="B3">
        <v>1</v>
      </c>
      <c r="C3" t="s">
        <v>32</v>
      </c>
    </row>
    <row r="4" spans="2:4" x14ac:dyDescent="0.25">
      <c r="B4">
        <v>2</v>
      </c>
    </row>
    <row r="5" spans="2:4" x14ac:dyDescent="0.25">
      <c r="B5">
        <v>3</v>
      </c>
    </row>
    <row r="6" spans="2:4" x14ac:dyDescent="0.25">
      <c r="B6">
        <v>4</v>
      </c>
    </row>
    <row r="7" spans="2:4" x14ac:dyDescent="0.25">
      <c r="B7">
        <v>5</v>
      </c>
    </row>
    <row r="8" spans="2:4" x14ac:dyDescent="0.25">
      <c r="B8">
        <v>6</v>
      </c>
    </row>
    <row r="9" spans="2:4" x14ac:dyDescent="0.25">
      <c r="B9">
        <v>7</v>
      </c>
    </row>
    <row r="10" spans="2:4" x14ac:dyDescent="0.25">
      <c r="B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</vt:lpstr>
      <vt:lpstr>ToDo</vt:lpstr>
      <vt:lpstr>Dungeons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Nykolayow</dc:creator>
  <cp:lastModifiedBy>Patrick Nykolayow</cp:lastModifiedBy>
  <dcterms:created xsi:type="dcterms:W3CDTF">2026-08-23T04:23:41Z</dcterms:created>
  <dcterms:modified xsi:type="dcterms:W3CDTF">2026-09-13T07:11:52Z</dcterms:modified>
</cp:coreProperties>
</file>