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ys64\home\patny\lost-oracle\outline\"/>
    </mc:Choice>
  </mc:AlternateContent>
  <xr:revisionPtr revIDLastSave="0" documentId="13_ncr:2001_{4813006D-E36A-4F5F-8105-652D02CCB0F4}" xr6:coauthVersionLast="47" xr6:coauthVersionMax="47" xr10:uidLastSave="{00000000-0000-0000-0000-000000000000}"/>
  <bookViews>
    <workbookView xWindow="28680" yWindow="-120" windowWidth="29040" windowHeight="15720" activeTab="1" xr2:uid="{836BA816-2F37-4226-B892-498C904600FD}"/>
  </bookViews>
  <sheets>
    <sheet name="Map" sheetId="1" r:id="rId1"/>
    <sheet name="Music" sheetId="4" r:id="rId2"/>
    <sheet name="ToDo" sheetId="3" r:id="rId3"/>
    <sheet name="Dungeons" sheetId="2" r:id="rId4"/>
  </sheets>
  <calcPr calcId="191029"/>
  <pivotCaches>
    <pivotCache cacheId="4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2" i="3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C3" i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T4" i="1"/>
  <c r="AT5" i="1" s="1"/>
  <c r="AT6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U3" i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G3" i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</calcChain>
</file>

<file path=xl/sharedStrings.xml><?xml version="1.0" encoding="utf-8"?>
<sst xmlns="http://schemas.openxmlformats.org/spreadsheetml/2006/main" count="564" uniqueCount="317">
  <si>
    <t>Town</t>
  </si>
  <si>
    <t>Beach</t>
  </si>
  <si>
    <t>Docks</t>
  </si>
  <si>
    <t>Water</t>
  </si>
  <si>
    <t>Story</t>
  </si>
  <si>
    <t>Farore wakes up from a ship</t>
  </si>
  <si>
    <t>She's reached a port of an island just off of Kinomi</t>
  </si>
  <si>
    <t>She wants to reach Kinomi for the birthday party but the ship stopped here first</t>
  </si>
  <si>
    <t>The captain asks her to help gather supplies for the trip to the mainland</t>
  </si>
  <si>
    <t>She has to gather for the captain's sake: a sword, a shield, and some bombs</t>
  </si>
  <si>
    <t>When she gets back, she's found that the crew has been kidnapped</t>
  </si>
  <si>
    <t>The captain, beaten, asks her to find the crew, who were taken by beasts in the night</t>
  </si>
  <si>
    <t>The crew have either been scattered to X dungeons, or they are in the first dungeon</t>
  </si>
  <si>
    <t>The townsfolk don't say much, but they complain about the terrible earthquakes on the island.</t>
  </si>
  <si>
    <t>Right after getting the last item, it turns dark. A screen before reaching the ship, a great earthquake happens</t>
  </si>
  <si>
    <t>While on her way to the first dungeon, she finds more about this island.</t>
  </si>
  <si>
    <t>After getting at least the one crew member, she decides to save the island, thinking she has enough time</t>
  </si>
  <si>
    <t>Ship</t>
  </si>
  <si>
    <t>Plain</t>
  </si>
  <si>
    <t>Swamp</t>
  </si>
  <si>
    <t>Mountains</t>
  </si>
  <si>
    <t>Mountains/Volcano</t>
  </si>
  <si>
    <t>Frozen Island</t>
  </si>
  <si>
    <t>D1</t>
  </si>
  <si>
    <t>D2</t>
  </si>
  <si>
    <t>D3</t>
  </si>
  <si>
    <t>D4</t>
  </si>
  <si>
    <t>D5</t>
  </si>
  <si>
    <t>D6</t>
  </si>
  <si>
    <t>D7</t>
  </si>
  <si>
    <t>D8</t>
  </si>
  <si>
    <t>River</t>
  </si>
  <si>
    <t>Plains</t>
  </si>
  <si>
    <t>Location</t>
  </si>
  <si>
    <t>Dungeon</t>
  </si>
  <si>
    <t>Item obtained from dungeon</t>
  </si>
  <si>
    <t>Ice Island</t>
  </si>
  <si>
    <t>Ship Graveyard</t>
  </si>
  <si>
    <t>Kinomi</t>
  </si>
  <si>
    <t>Companion region</t>
  </si>
  <si>
    <t>Farore leaves a diary in the ship</t>
  </si>
  <si>
    <t>Wasurerareta Island</t>
  </si>
  <si>
    <t>Cirrus Village</t>
  </si>
  <si>
    <t>Stratus Hot Springs</t>
  </si>
  <si>
    <t>Cumulus Heights (Forest like)</t>
  </si>
  <si>
    <t>Stream Currents</t>
  </si>
  <si>
    <t>Flurrie Fields</t>
  </si>
  <si>
    <t>Temple of the Sun</t>
  </si>
  <si>
    <t>Moonlight Ward</t>
  </si>
  <si>
    <t>Nascostti Town</t>
  </si>
  <si>
    <t>Ships' Grave</t>
  </si>
  <si>
    <t>Blizzard Badlands</t>
  </si>
  <si>
    <t>Item</t>
  </si>
  <si>
    <t>Obtained before dungeon:</t>
  </si>
  <si>
    <t>Shield</t>
  </si>
  <si>
    <t>Sword</t>
  </si>
  <si>
    <t>Bombs</t>
  </si>
  <si>
    <t>Seed satchel</t>
  </si>
  <si>
    <t>Feather</t>
  </si>
  <si>
    <t>To get items, Farore has to borrow an item from Cirrus Village</t>
  </si>
  <si>
    <t>Bracelet</t>
  </si>
  <si>
    <t>Cane of Somaria</t>
  </si>
  <si>
    <t>Boomerang</t>
  </si>
  <si>
    <t>Rod of Seasons</t>
  </si>
  <si>
    <t>Magnet Gloves</t>
  </si>
  <si>
    <t>Switch Hook</t>
  </si>
  <si>
    <t>Biggoron Sword</t>
  </si>
  <si>
    <t>Bombchus</t>
  </si>
  <si>
    <t>Flute</t>
  </si>
  <si>
    <t>Shooter</t>
  </si>
  <si>
    <t>Harp</t>
  </si>
  <si>
    <t>Slingshot</t>
  </si>
  <si>
    <t>Shovel</t>
  </si>
  <si>
    <t>Fools ore</t>
  </si>
  <si>
    <t>ember seeds</t>
  </si>
  <si>
    <t>scent seeds</t>
  </si>
  <si>
    <t>pegasus seeds</t>
  </si>
  <si>
    <t>gale seeds</t>
  </si>
  <si>
    <t>mystery seeds</t>
  </si>
  <si>
    <t>tune of echoes</t>
  </si>
  <si>
    <t>tune of currents</t>
  </si>
  <si>
    <t>tune of ages</t>
  </si>
  <si>
    <t>ring box</t>
  </si>
  <si>
    <t>flippers</t>
  </si>
  <si>
    <t>ring</t>
  </si>
  <si>
    <t>first key</t>
  </si>
  <si>
    <t>second key</t>
  </si>
  <si>
    <t>third key</t>
  </si>
  <si>
    <t>fourth key</t>
  </si>
  <si>
    <t>fifth key</t>
  </si>
  <si>
    <t>ricky gloves</t>
  </si>
  <si>
    <t>bomb flower</t>
  </si>
  <si>
    <t>mermaid suit</t>
  </si>
  <si>
    <t>slate</t>
  </si>
  <si>
    <t>tuni nut</t>
  </si>
  <si>
    <t>scent seedling</t>
  </si>
  <si>
    <t>zora scale</t>
  </si>
  <si>
    <t>tokay eyeball</t>
  </si>
  <si>
    <t>empty bottle</t>
  </si>
  <si>
    <t>fairy powder</t>
  </si>
  <si>
    <t>cheval rope</t>
  </si>
  <si>
    <t>members card</t>
  </si>
  <si>
    <t>island chart</t>
  </si>
  <si>
    <t>book of seals</t>
  </si>
  <si>
    <t>goron letter</t>
  </si>
  <si>
    <t>lava juice</t>
  </si>
  <si>
    <t>brother emblem</t>
  </si>
  <si>
    <t>goron vase</t>
  </si>
  <si>
    <t>goronade</t>
  </si>
  <si>
    <t>rock brisket</t>
  </si>
  <si>
    <t>star ore</t>
  </si>
  <si>
    <t>ribbon</t>
  </si>
  <si>
    <t>spring banana</t>
  </si>
  <si>
    <t>pirates bell</t>
  </si>
  <si>
    <t>treasure map</t>
  </si>
  <si>
    <t>first jewel</t>
  </si>
  <si>
    <t>second jewel</t>
  </si>
  <si>
    <t>third jewel</t>
  </si>
  <si>
    <t>fourth jewel</t>
  </si>
  <si>
    <t>red ore</t>
  </si>
  <si>
    <t>blue ore</t>
  </si>
  <si>
    <t>hard ore</t>
  </si>
  <si>
    <t>masters plaque</t>
  </si>
  <si>
    <t>bomb upgrade</t>
  </si>
  <si>
    <t>satchel updated</t>
  </si>
  <si>
    <t>Mountain Village</t>
  </si>
  <si>
    <t>Can summon companion and play other songs</t>
  </si>
  <si>
    <t>Get scent or mystery seeds first (?)</t>
  </si>
  <si>
    <t>Name</t>
  </si>
  <si>
    <t>Dockmaster's Quarters</t>
  </si>
  <si>
    <t>Ice Palace</t>
  </si>
  <si>
    <t>Manor</t>
  </si>
  <si>
    <t>'s Sunken Ship</t>
  </si>
  <si>
    <t>Abandoned Outpost</t>
  </si>
  <si>
    <t>N/A</t>
  </si>
  <si>
    <t>Bracelet 2</t>
  </si>
  <si>
    <t>Switch hook 2</t>
  </si>
  <si>
    <t>Step</t>
  </si>
  <si>
    <t>Update Link sprite sheet for Farore</t>
  </si>
  <si>
    <t>Sequence for rope</t>
  </si>
  <si>
    <t>Sequence for chart</t>
  </si>
  <si>
    <t>Sequence for (shield)</t>
  </si>
  <si>
    <t>Sequence for (sword)</t>
  </si>
  <si>
    <t>Magical key</t>
  </si>
  <si>
    <t>Biggoron</t>
  </si>
  <si>
    <t>Sun and Moon palace exterior</t>
  </si>
  <si>
    <t>Overthere Stair</t>
  </si>
  <si>
    <t>Area</t>
  </si>
  <si>
    <t>Music</t>
  </si>
  <si>
    <t>Dragon Roost Island</t>
  </si>
  <si>
    <t>Goron village? Mountain area</t>
  </si>
  <si>
    <t>falling rain</t>
  </si>
  <si>
    <t>Disaster</t>
  </si>
  <si>
    <t>Ranch area</t>
  </si>
  <si>
    <t>Kokiri forest</t>
  </si>
  <si>
    <t>City</t>
  </si>
  <si>
    <t>Crown city</t>
  </si>
  <si>
    <t>Kass theme</t>
  </si>
  <si>
    <t>Guru guru</t>
  </si>
  <si>
    <t>Tal Tal Heights</t>
  </si>
  <si>
    <t>Folksong 1</t>
  </si>
  <si>
    <t>Creepy Castle</t>
  </si>
  <si>
    <t>ship junkyard</t>
  </si>
  <si>
    <t>Choral 2</t>
  </si>
  <si>
    <t>Ghost gulping</t>
  </si>
  <si>
    <t>A boss theme</t>
  </si>
  <si>
    <t>Aquas</t>
  </si>
  <si>
    <t>cave theme / underwater theme?</t>
  </si>
  <si>
    <t>Crystal palace crawl</t>
  </si>
  <si>
    <t>Western ends</t>
  </si>
  <si>
    <t>Sub-map shuffle</t>
  </si>
  <si>
    <t>Cave? Dungeon?</t>
  </si>
  <si>
    <t>Savii Islands</t>
  </si>
  <si>
    <t>Night</t>
  </si>
  <si>
    <t>Izumo</t>
  </si>
  <si>
    <t>Monster Bird of Desolatt Island</t>
  </si>
  <si>
    <t>Great Conductor's Gentle Light</t>
  </si>
  <si>
    <t>Ranch area / cloud village</t>
  </si>
  <si>
    <t>Mario's Rainbow Castle 2</t>
  </si>
  <si>
    <t>Golden Age Caverns</t>
  </si>
  <si>
    <t>cave / D2 / D6</t>
  </si>
  <si>
    <t>Autumn Mountain</t>
  </si>
  <si>
    <t>Felix Returns</t>
  </si>
  <si>
    <t>Madra</t>
  </si>
  <si>
    <t>Indoors</t>
  </si>
  <si>
    <t>South Mercay Island</t>
  </si>
  <si>
    <t>Shifty Boo Mansion</t>
  </si>
  <si>
    <t>Creepy indoors</t>
  </si>
  <si>
    <t>Final</t>
  </si>
  <si>
    <t>Palace of the Sun</t>
  </si>
  <si>
    <t>Free flight</t>
  </si>
  <si>
    <t>Cloud land</t>
  </si>
  <si>
    <t>Tetris Theme 1</t>
  </si>
  <si>
    <t>Waluigi Pinball</t>
  </si>
  <si>
    <t>Airship Fortress</t>
  </si>
  <si>
    <t>Chomp Attack</t>
  </si>
  <si>
    <t>D3 boss theme</t>
  </si>
  <si>
    <t>X-naut fortress</t>
  </si>
  <si>
    <t>Moon palace</t>
  </si>
  <si>
    <t>Mecha-bowser</t>
  </si>
  <si>
    <t>miniboss</t>
  </si>
  <si>
    <t>TTYD The Champ</t>
  </si>
  <si>
    <t>Digga-leg</t>
  </si>
  <si>
    <t>Hooktail</t>
  </si>
  <si>
    <t>Rainbow Road</t>
  </si>
  <si>
    <t>Sun palace</t>
  </si>
  <si>
    <t>Hisstocrat</t>
  </si>
  <si>
    <t>GBA Sunset Wilds</t>
  </si>
  <si>
    <t>Time Bomb's ticking</t>
  </si>
  <si>
    <t>Hot Pursuit</t>
  </si>
  <si>
    <t>Cave</t>
  </si>
  <si>
    <t>Pom Pom theme</t>
  </si>
  <si>
    <t>Miniboss</t>
  </si>
  <si>
    <t>NSMB Castle</t>
  </si>
  <si>
    <t>Buoy Base Galaxy</t>
  </si>
  <si>
    <t>Lava Theme</t>
  </si>
  <si>
    <t>Doopliss</t>
  </si>
  <si>
    <t>D7 boss</t>
  </si>
  <si>
    <t>Melty Monster Galaxy</t>
  </si>
  <si>
    <t>Brigadier Mollusque</t>
  </si>
  <si>
    <t>Wrecking RoboBrood</t>
  </si>
  <si>
    <t>Dragoneel Slayers</t>
  </si>
  <si>
    <t>Minigame</t>
  </si>
  <si>
    <t>SMG2 - Speed Run</t>
  </si>
  <si>
    <t>Final tower climb</t>
  </si>
  <si>
    <t>Horse Race</t>
  </si>
  <si>
    <t>Haunted Coaster 1</t>
  </si>
  <si>
    <t>Miniboss / Minigame</t>
  </si>
  <si>
    <t>Sprawling Savanna</t>
  </si>
  <si>
    <t>Fuzzy Time Mine</t>
  </si>
  <si>
    <t>Double Cherry Pass</t>
  </si>
  <si>
    <t>Simmering Lava Lake</t>
  </si>
  <si>
    <t>Moo Moo Farm</t>
  </si>
  <si>
    <t>Fort Fire Bros</t>
  </si>
  <si>
    <t>D2 / D3 / D4</t>
  </si>
  <si>
    <t>Hey, You!</t>
  </si>
  <si>
    <t>Attack of the Koopa Bros</t>
  </si>
  <si>
    <t>Go! Mario! Go!</t>
  </si>
  <si>
    <t>Huffin' and Puffin'</t>
  </si>
  <si>
    <t>Freeze!</t>
  </si>
  <si>
    <t>Space Junk Road</t>
  </si>
  <si>
    <t>Cloud indoors</t>
  </si>
  <si>
    <t>Forest Interlude</t>
  </si>
  <si>
    <t>Cave / D2</t>
  </si>
  <si>
    <t>The Roost</t>
  </si>
  <si>
    <t>Harv's Island - Evning</t>
  </si>
  <si>
    <t>Calm night</t>
  </si>
  <si>
    <t>Bubblaine</t>
  </si>
  <si>
    <t>Calm city</t>
  </si>
  <si>
    <t>Zora's Domain</t>
  </si>
  <si>
    <t>Zora land</t>
  </si>
  <si>
    <t>Ice Mountain</t>
  </si>
  <si>
    <t>D5 area</t>
  </si>
  <si>
    <t>Kind Streets</t>
  </si>
  <si>
    <t>Indoors / calm city</t>
  </si>
  <si>
    <t>Village</t>
  </si>
  <si>
    <t>Frostak's Arctic Tundra</t>
  </si>
  <si>
    <t>Ice village</t>
  </si>
  <si>
    <t>World of Miracles: Planet Popstar</t>
  </si>
  <si>
    <t>Dolphin Park</t>
  </si>
  <si>
    <t>Wave Race 64 - 4th Place</t>
  </si>
  <si>
    <t>Skyloft</t>
  </si>
  <si>
    <t>Cloud village</t>
  </si>
  <si>
    <t>Among the Clouds</t>
  </si>
  <si>
    <t>Statue of the Goddess</t>
  </si>
  <si>
    <t>Calm</t>
  </si>
  <si>
    <t>Distant Utopia</t>
  </si>
  <si>
    <t>Mytery Island - Clear Evening</t>
  </si>
  <si>
    <t>Night City</t>
  </si>
  <si>
    <t>Small Island</t>
  </si>
  <si>
    <t>Star Fox 64 - Select Theme</t>
  </si>
  <si>
    <t>Cave / small dungeon</t>
  </si>
  <si>
    <t>Frosty Frolics</t>
  </si>
  <si>
    <t>D1 / D2</t>
  </si>
  <si>
    <t>Pokey Pipes</t>
  </si>
  <si>
    <t>Grandma</t>
  </si>
  <si>
    <t>Sadness</t>
  </si>
  <si>
    <t>Wind Adepts</t>
  </si>
  <si>
    <t>Winds across Earthfall</t>
  </si>
  <si>
    <t>Cloud village/ cloud land</t>
  </si>
  <si>
    <t>The Way Home</t>
  </si>
  <si>
    <t>Poplin House</t>
  </si>
  <si>
    <t>Sunny Beach</t>
  </si>
  <si>
    <t>Drake lake</t>
  </si>
  <si>
    <t>Weapons Shop</t>
  </si>
  <si>
    <t>Eflilin</t>
  </si>
  <si>
    <t>TLOZ - Ending Theme</t>
  </si>
  <si>
    <t>Cosmic Cove galaxy</t>
  </si>
  <si>
    <t>Cloud land / underwater</t>
  </si>
  <si>
    <t>Zelda II -Title Theme</t>
  </si>
  <si>
    <t>Zelda II - Town</t>
  </si>
  <si>
    <t>Zelda II - Indoors</t>
  </si>
  <si>
    <t>The Broken Seal</t>
  </si>
  <si>
    <t>An Awfully Long Time Ago…</t>
  </si>
  <si>
    <t>Moon Theme / Essence Room / Fairy</t>
  </si>
  <si>
    <t>Excess Express (Evening)</t>
  </si>
  <si>
    <t>Riverside Station Platform</t>
  </si>
  <si>
    <t>Dawn / Dusk</t>
  </si>
  <si>
    <t>Frankly and the Magical Map</t>
  </si>
  <si>
    <t>The Forgotten Isle</t>
  </si>
  <si>
    <t>initial setup (body test)</t>
  </si>
  <si>
    <t>Wii Party - Menu Screen</t>
  </si>
  <si>
    <t>A Changed Island</t>
  </si>
  <si>
    <t>Tense</t>
  </si>
  <si>
    <t>Good Night</t>
  </si>
  <si>
    <t>Oshus's Theme</t>
  </si>
  <si>
    <t>Calm/old</t>
  </si>
  <si>
    <t>Ciela's Awakening</t>
  </si>
  <si>
    <t>Caves of Mt. Moon</t>
  </si>
  <si>
    <t>Crisp Climb Castle</t>
  </si>
  <si>
    <t>Gusty Gulch Adventure</t>
  </si>
  <si>
    <t>Take a Break Every Now and Again</t>
  </si>
  <si>
    <t>Bar</t>
  </si>
  <si>
    <t>Over Shiver Mountain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</si>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</sst>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10" borderId="0" xfId="0" applyFill="1"/>
    <xf numFmtId="0" fontId="0" fillId="10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left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2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2" borderId="0" xfId="0" applyFill="1" applyAlignment="1">
      <alignment horizontal="left"/>
    </xf>
    <xf numFmtId="0" fontId="0" fillId="3" borderId="4" xfId="0" applyFill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0" fillId="9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0" fillId="9" borderId="3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9" borderId="0" xfId="0" applyFill="1" applyAlignment="1">
      <alignment horizontal="left"/>
    </xf>
    <xf numFmtId="0" fontId="0" fillId="5" borderId="11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1" borderId="17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0" fontId="0" fillId="11" borderId="18" xfId="0" applyFill="1" applyBorder="1" applyAlignment="1">
      <alignment horizontal="left"/>
    </xf>
    <xf numFmtId="0" fontId="0" fillId="0" borderId="10" xfId="0" applyBorder="1"/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0" xfId="0" applyFill="1"/>
    <xf numFmtId="0" fontId="0" fillId="7" borderId="0" xfId="0" applyFill="1" applyAlignment="1">
      <alignment horizontal="lef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7" borderId="11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14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9" borderId="0" xfId="0" applyFill="1"/>
    <xf numFmtId="0" fontId="0" fillId="19" borderId="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7" borderId="19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2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0" xfId="0" quotePrefix="1"/>
    <xf numFmtId="0" fontId="0" fillId="11" borderId="5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24" xfId="0" applyFill="1" applyBorder="1" applyAlignment="1">
      <alignment horizontal="left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Nykolayow" refreshedDate="46294.136933217589" createdVersion="8" refreshedVersion="8" minRefreshableVersion="3" recordCount="116" xr:uid="{E5B4F96F-68AF-4AF6-88B1-FA1813975DFC}">
  <cacheSource type="worksheet">
    <worksheetSource ref="B5:C121" sheet="Music"/>
  </cacheSource>
  <cacheFields count="2">
    <cacheField name="Area" numFmtId="0">
      <sharedItems containsBlank="1" count="56">
        <s v="Sun and Moon palace exterior"/>
        <s v="Goron village? Mountain area"/>
        <s v="Disaster"/>
        <s v="Ranch area"/>
        <s v="City"/>
        <s v="Guru guru"/>
        <s v="Kinomi"/>
        <m/>
        <s v="ship junkyard"/>
        <s v="A boss theme"/>
        <s v="cave theme / underwater theme?"/>
        <s v="D5"/>
        <s v="Cave? Dungeon?"/>
        <s v="Night"/>
        <s v="D1"/>
        <s v="Ranch area / cloud village"/>
        <s v="cave / D2 / D6"/>
        <s v="Indoors"/>
        <s v="Creepy indoors"/>
        <s v="Cloud land"/>
        <s v="D6"/>
        <s v="D3 boss theme"/>
        <s v="Moon palace"/>
        <s v="miniboss"/>
        <s v="Sun palace"/>
        <s v="Cave"/>
        <s v="D8"/>
        <s v="D4"/>
        <s v="D7 boss"/>
        <s v="Minigame"/>
        <s v="Final tower climb"/>
        <s v="Miniboss / Minigame"/>
        <s v="D2 / D3 / D4"/>
        <s v="Cloud indoors"/>
        <s v="Cave / D2"/>
        <s v="Calm night"/>
        <s v="Calm city"/>
        <s v="Zora land"/>
        <s v="D5 area"/>
        <s v="Indoors / calm city"/>
        <s v="Ice village"/>
        <s v="Cloud village"/>
        <s v="Night City"/>
        <s v="Cave / small dungeon"/>
        <s v="D1 / D2"/>
        <s v="Sadness"/>
        <s v="Cloud village/ cloud land"/>
        <s v="Cloud land / underwater"/>
        <s v="Moon Theme / Essence Room / Fairy"/>
        <s v="Dawn / Dusk"/>
        <s v="D3"/>
        <s v="Tense"/>
        <s v="Calm"/>
        <s v="Calm/old"/>
        <s v="Village"/>
        <s v="Bar"/>
      </sharedItems>
    </cacheField>
    <cacheField name="Music" numFmtId="0">
      <sharedItems count="116">
        <s v="Overthere Stair"/>
        <s v="Dragon Roost Island"/>
        <s v="falling rain"/>
        <s v="Kokiri forest"/>
        <s v="Crown city"/>
        <s v="Kass theme"/>
        <s v="Tal Tal Heights"/>
        <s v="Folksong 1"/>
        <s v="Creepy Castle"/>
        <s v="Choral 2"/>
        <s v="Ghost gulping"/>
        <s v="Aquas"/>
        <s v="Crystal palace crawl"/>
        <s v="Western ends"/>
        <s v="Sub-map shuffle"/>
        <s v="Savii Islands"/>
        <s v="Izumo"/>
        <s v="Monster Bird of Desolatt Island"/>
        <s v="Great Conductor's Gentle Light"/>
        <s v="Mario's Rainbow Castle 2"/>
        <s v="Golden Age Caverns"/>
        <s v="Autumn Mountain"/>
        <s v="Felix Returns"/>
        <s v="Madra"/>
        <s v="South Mercay Island"/>
        <s v="Shifty Boo Mansion"/>
        <s v="Free flight"/>
        <s v="Tetris Theme 1"/>
        <s v="Waluigi Pinball"/>
        <s v="Airship Fortress"/>
        <s v="Chomp Attack"/>
        <s v="X-naut fortress"/>
        <s v="Mecha-bowser"/>
        <s v="TTYD The Champ"/>
        <s v="Digga-leg"/>
        <s v="Hooktail"/>
        <s v="Rainbow Road"/>
        <s v="Hisstocrat"/>
        <s v="GBA Sunset Wilds"/>
        <s v="Time Bomb's ticking"/>
        <s v="Hot Pursuit"/>
        <s v="Pom Pom theme"/>
        <s v="NSMB Castle"/>
        <s v="Buoy Base Galaxy"/>
        <s v="Lava Theme"/>
        <s v="Doopliss"/>
        <s v="Melty Monster Galaxy"/>
        <s v="Brigadier Mollusque"/>
        <s v="Wrecking RoboBrood"/>
        <s v="Dragoneel Slayers"/>
        <s v="SMG2 - Speed Run"/>
        <s v="Horse Race"/>
        <s v="Haunted Coaster 1"/>
        <s v="Sprawling Savanna"/>
        <s v="Fuzzy Time Mine"/>
        <s v="Double Cherry Pass"/>
        <s v="Simmering Lava Lake"/>
        <s v="Moo Moo Farm"/>
        <s v="Fort Fire Bros"/>
        <s v="Hey, You!"/>
        <s v="Attack of the Koopa Bros"/>
        <s v="Go! Mario! Go!"/>
        <s v="Huffin' and Puffin'"/>
        <s v="Freeze!"/>
        <s v="Space Junk Road"/>
        <s v="Forest Interlude"/>
        <s v="The Roost"/>
        <s v="Harv's Island - Evning"/>
        <s v="Bubblaine"/>
        <s v="Zora's Domain"/>
        <s v="Ice Mountain"/>
        <s v="Kind Streets"/>
        <s v="Frostak's Arctic Tundra"/>
        <s v="World of Miracles: Planet Popstar"/>
        <s v="Dolphin Park"/>
        <s v="Wave Race 64 - 4th Place"/>
        <s v="Skyloft"/>
        <s v="Among the Clouds"/>
        <s v="Statue of the Goddess"/>
        <s v="Distant Utopia"/>
        <s v="Mytery Island - Clear Evening"/>
        <s v="Small Island"/>
        <s v="Star Fox 64 - Select Theme"/>
        <s v="Frosty Frolics"/>
        <s v="Pokey Pipes"/>
        <s v="Grandma"/>
        <s v="Wind Adepts"/>
        <s v="Winds across Earthfall"/>
        <s v="The Way Home"/>
        <s v="Poplin House"/>
        <s v="Sunny Beach"/>
        <s v="Drake lake"/>
        <s v="Weapons Shop"/>
        <s v="Eflilin"/>
        <s v="TLOZ - Ending Theme"/>
        <s v="Cosmic Cove galaxy"/>
        <s v="Zelda II -Title Theme"/>
        <s v="Zelda II - Town"/>
        <s v="Zelda II - Indoors"/>
        <s v="The Broken Seal"/>
        <s v="An Awfully Long Time Ago…"/>
        <s v="Excess Express (Evening)"/>
        <s v="Riverside Station Platform"/>
        <s v="Frankly and the Magical Map"/>
        <s v="The Forgotten Isle"/>
        <s v="initial setup (body test)"/>
        <s v="Wii Party - Menu Screen"/>
        <s v="A Changed Island"/>
        <s v="Good Night"/>
        <s v="Oshus's Theme"/>
        <s v="Ciela's Awakening"/>
        <s v="Caves of Mt. Moon"/>
        <s v="Crisp Climb Castle"/>
        <s v="Gusty Gulch Adventure"/>
        <s v="Take a Break Every Now and Again"/>
        <s v="Over Shiver Mounta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7"/>
    <x v="9"/>
  </r>
  <r>
    <x v="9"/>
    <x v="10"/>
  </r>
  <r>
    <x v="10"/>
    <x v="11"/>
  </r>
  <r>
    <x v="11"/>
    <x v="12"/>
  </r>
  <r>
    <x v="7"/>
    <x v="13"/>
  </r>
  <r>
    <x v="12"/>
    <x v="14"/>
  </r>
  <r>
    <x v="4"/>
    <x v="15"/>
  </r>
  <r>
    <x v="13"/>
    <x v="16"/>
  </r>
  <r>
    <x v="14"/>
    <x v="17"/>
  </r>
  <r>
    <x v="15"/>
    <x v="18"/>
  </r>
  <r>
    <x v="4"/>
    <x v="19"/>
  </r>
  <r>
    <x v="16"/>
    <x v="20"/>
  </r>
  <r>
    <x v="7"/>
    <x v="21"/>
  </r>
  <r>
    <x v="2"/>
    <x v="22"/>
  </r>
  <r>
    <x v="17"/>
    <x v="23"/>
  </r>
  <r>
    <x v="17"/>
    <x v="24"/>
  </r>
  <r>
    <x v="18"/>
    <x v="25"/>
  </r>
  <r>
    <x v="19"/>
    <x v="26"/>
  </r>
  <r>
    <x v="20"/>
    <x v="27"/>
  </r>
  <r>
    <x v="9"/>
    <x v="28"/>
  </r>
  <r>
    <x v="9"/>
    <x v="29"/>
  </r>
  <r>
    <x v="21"/>
    <x v="30"/>
  </r>
  <r>
    <x v="22"/>
    <x v="31"/>
  </r>
  <r>
    <x v="23"/>
    <x v="32"/>
  </r>
  <r>
    <x v="9"/>
    <x v="33"/>
  </r>
  <r>
    <x v="9"/>
    <x v="34"/>
  </r>
  <r>
    <x v="9"/>
    <x v="35"/>
  </r>
  <r>
    <x v="24"/>
    <x v="36"/>
  </r>
  <r>
    <x v="9"/>
    <x v="37"/>
  </r>
  <r>
    <x v="1"/>
    <x v="38"/>
  </r>
  <r>
    <x v="9"/>
    <x v="39"/>
  </r>
  <r>
    <x v="25"/>
    <x v="40"/>
  </r>
  <r>
    <x v="23"/>
    <x v="41"/>
  </r>
  <r>
    <x v="26"/>
    <x v="42"/>
  </r>
  <r>
    <x v="19"/>
    <x v="43"/>
  </r>
  <r>
    <x v="27"/>
    <x v="44"/>
  </r>
  <r>
    <x v="28"/>
    <x v="45"/>
  </r>
  <r>
    <x v="27"/>
    <x v="46"/>
  </r>
  <r>
    <x v="9"/>
    <x v="47"/>
  </r>
  <r>
    <x v="9"/>
    <x v="48"/>
  </r>
  <r>
    <x v="29"/>
    <x v="49"/>
  </r>
  <r>
    <x v="30"/>
    <x v="50"/>
  </r>
  <r>
    <x v="29"/>
    <x v="51"/>
  </r>
  <r>
    <x v="31"/>
    <x v="52"/>
  </r>
  <r>
    <x v="1"/>
    <x v="53"/>
  </r>
  <r>
    <x v="31"/>
    <x v="54"/>
  </r>
  <r>
    <x v="4"/>
    <x v="55"/>
  </r>
  <r>
    <x v="30"/>
    <x v="56"/>
  </r>
  <r>
    <x v="29"/>
    <x v="57"/>
  </r>
  <r>
    <x v="32"/>
    <x v="58"/>
  </r>
  <r>
    <x v="23"/>
    <x v="59"/>
  </r>
  <r>
    <x v="9"/>
    <x v="60"/>
  </r>
  <r>
    <x v="9"/>
    <x v="61"/>
  </r>
  <r>
    <x v="9"/>
    <x v="62"/>
  </r>
  <r>
    <x v="9"/>
    <x v="63"/>
  </r>
  <r>
    <x v="33"/>
    <x v="64"/>
  </r>
  <r>
    <x v="34"/>
    <x v="65"/>
  </r>
  <r>
    <x v="17"/>
    <x v="66"/>
  </r>
  <r>
    <x v="35"/>
    <x v="67"/>
  </r>
  <r>
    <x v="36"/>
    <x v="68"/>
  </r>
  <r>
    <x v="37"/>
    <x v="69"/>
  </r>
  <r>
    <x v="38"/>
    <x v="70"/>
  </r>
  <r>
    <x v="39"/>
    <x v="71"/>
  </r>
  <r>
    <x v="40"/>
    <x v="72"/>
  </r>
  <r>
    <x v="19"/>
    <x v="73"/>
  </r>
  <r>
    <x v="4"/>
    <x v="74"/>
  </r>
  <r>
    <x v="36"/>
    <x v="75"/>
  </r>
  <r>
    <x v="41"/>
    <x v="76"/>
  </r>
  <r>
    <x v="19"/>
    <x v="77"/>
  </r>
  <r>
    <x v="33"/>
    <x v="78"/>
  </r>
  <r>
    <x v="13"/>
    <x v="79"/>
  </r>
  <r>
    <x v="42"/>
    <x v="80"/>
  </r>
  <r>
    <x v="33"/>
    <x v="81"/>
  </r>
  <r>
    <x v="43"/>
    <x v="82"/>
  </r>
  <r>
    <x v="38"/>
    <x v="83"/>
  </r>
  <r>
    <x v="44"/>
    <x v="84"/>
  </r>
  <r>
    <x v="45"/>
    <x v="85"/>
  </r>
  <r>
    <x v="41"/>
    <x v="86"/>
  </r>
  <r>
    <x v="46"/>
    <x v="87"/>
  </r>
  <r>
    <x v="33"/>
    <x v="88"/>
  </r>
  <r>
    <x v="17"/>
    <x v="89"/>
  </r>
  <r>
    <x v="29"/>
    <x v="90"/>
  </r>
  <r>
    <x v="1"/>
    <x v="91"/>
  </r>
  <r>
    <x v="17"/>
    <x v="92"/>
  </r>
  <r>
    <x v="45"/>
    <x v="93"/>
  </r>
  <r>
    <x v="7"/>
    <x v="94"/>
  </r>
  <r>
    <x v="47"/>
    <x v="95"/>
  </r>
  <r>
    <x v="7"/>
    <x v="96"/>
  </r>
  <r>
    <x v="7"/>
    <x v="97"/>
  </r>
  <r>
    <x v="7"/>
    <x v="98"/>
  </r>
  <r>
    <x v="13"/>
    <x v="99"/>
  </r>
  <r>
    <x v="48"/>
    <x v="100"/>
  </r>
  <r>
    <x v="7"/>
    <x v="101"/>
  </r>
  <r>
    <x v="49"/>
    <x v="102"/>
  </r>
  <r>
    <x v="25"/>
    <x v="103"/>
  </r>
  <r>
    <x v="50"/>
    <x v="104"/>
  </r>
  <r>
    <x v="17"/>
    <x v="105"/>
  </r>
  <r>
    <x v="17"/>
    <x v="106"/>
  </r>
  <r>
    <x v="51"/>
    <x v="107"/>
  </r>
  <r>
    <x v="52"/>
    <x v="108"/>
  </r>
  <r>
    <x v="53"/>
    <x v="109"/>
  </r>
  <r>
    <x v="54"/>
    <x v="110"/>
  </r>
  <r>
    <x v="20"/>
    <x v="111"/>
  </r>
  <r>
    <x v="38"/>
    <x v="112"/>
  </r>
  <r>
    <x v="19"/>
    <x v="113"/>
  </r>
  <r>
    <x v="55"/>
    <x v="114"/>
  </r>
  <r>
    <x v="38"/>
    <x v="1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6FF06-D22B-46E4-90BD-C689299A5E7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H178" firstHeaderRow="1" firstDataRow="1" firstDataCol="1"/>
  <pivotFields count="2">
    <pivotField axis="axisRow" showAll="0">
      <items count="57">
        <item x="9"/>
        <item x="55"/>
        <item x="52"/>
        <item x="36"/>
        <item x="35"/>
        <item x="53"/>
        <item x="25"/>
        <item x="34"/>
        <item x="16"/>
        <item x="43"/>
        <item x="10"/>
        <item x="12"/>
        <item x="4"/>
        <item x="33"/>
        <item x="19"/>
        <item x="47"/>
        <item x="41"/>
        <item x="46"/>
        <item x="18"/>
        <item x="14"/>
        <item x="44"/>
        <item x="32"/>
        <item x="50"/>
        <item x="21"/>
        <item x="27"/>
        <item x="11"/>
        <item x="38"/>
        <item x="20"/>
        <item x="28"/>
        <item x="26"/>
        <item x="49"/>
        <item x="2"/>
        <item x="30"/>
        <item x="1"/>
        <item x="5"/>
        <item x="40"/>
        <item x="17"/>
        <item x="39"/>
        <item x="6"/>
        <item x="23"/>
        <item x="31"/>
        <item x="29"/>
        <item x="22"/>
        <item x="48"/>
        <item x="13"/>
        <item x="42"/>
        <item x="3"/>
        <item x="15"/>
        <item x="45"/>
        <item x="8"/>
        <item x="0"/>
        <item x="24"/>
        <item x="51"/>
        <item x="54"/>
        <item x="37"/>
        <item x="7"/>
        <item t="default"/>
      </items>
    </pivotField>
    <pivotField axis="axisRow" showAll="0">
      <items count="117">
        <item x="107"/>
        <item x="29"/>
        <item x="77"/>
        <item x="100"/>
        <item x="11"/>
        <item x="60"/>
        <item x="21"/>
        <item x="47"/>
        <item x="68"/>
        <item x="43"/>
        <item x="111"/>
        <item x="30"/>
        <item x="9"/>
        <item x="110"/>
        <item x="95"/>
        <item x="8"/>
        <item x="112"/>
        <item x="4"/>
        <item x="12"/>
        <item x="34"/>
        <item x="79"/>
        <item x="74"/>
        <item x="45"/>
        <item x="55"/>
        <item x="1"/>
        <item x="49"/>
        <item x="91"/>
        <item x="93"/>
        <item x="101"/>
        <item x="2"/>
        <item x="22"/>
        <item x="7"/>
        <item x="65"/>
        <item x="58"/>
        <item x="103"/>
        <item x="26"/>
        <item x="63"/>
        <item x="72"/>
        <item x="83"/>
        <item x="54"/>
        <item x="38"/>
        <item x="10"/>
        <item x="61"/>
        <item x="20"/>
        <item x="108"/>
        <item x="85"/>
        <item x="18"/>
        <item x="113"/>
        <item x="67"/>
        <item x="52"/>
        <item x="59"/>
        <item x="37"/>
        <item x="35"/>
        <item x="51"/>
        <item x="40"/>
        <item x="62"/>
        <item x="70"/>
        <item x="105"/>
        <item x="16"/>
        <item x="5"/>
        <item x="71"/>
        <item x="3"/>
        <item x="44"/>
        <item x="23"/>
        <item x="19"/>
        <item x="32"/>
        <item x="46"/>
        <item x="17"/>
        <item x="57"/>
        <item x="80"/>
        <item x="42"/>
        <item x="109"/>
        <item x="115"/>
        <item x="0"/>
        <item x="84"/>
        <item x="41"/>
        <item x="89"/>
        <item x="36"/>
        <item x="102"/>
        <item x="15"/>
        <item x="25"/>
        <item x="56"/>
        <item x="76"/>
        <item x="81"/>
        <item x="50"/>
        <item x="24"/>
        <item x="64"/>
        <item x="53"/>
        <item x="82"/>
        <item x="78"/>
        <item x="14"/>
        <item x="90"/>
        <item x="114"/>
        <item x="6"/>
        <item x="27"/>
        <item x="99"/>
        <item x="104"/>
        <item x="66"/>
        <item x="88"/>
        <item x="39"/>
        <item x="94"/>
        <item x="33"/>
        <item x="28"/>
        <item x="75"/>
        <item x="92"/>
        <item x="13"/>
        <item x="106"/>
        <item x="86"/>
        <item x="87"/>
        <item x="73"/>
        <item x="48"/>
        <item x="31"/>
        <item x="98"/>
        <item x="97"/>
        <item x="96"/>
        <item x="69"/>
        <item t="default"/>
      </items>
    </pivotField>
  </pivotFields>
  <rowFields count="2">
    <field x="0"/>
    <field x="1"/>
  </rowFields>
  <rowItems count="173">
    <i>
      <x/>
    </i>
    <i r="1">
      <x v="1"/>
    </i>
    <i r="1">
      <x v="5"/>
    </i>
    <i r="1">
      <x v="7"/>
    </i>
    <i r="1">
      <x v="19"/>
    </i>
    <i r="1">
      <x v="36"/>
    </i>
    <i r="1">
      <x v="41"/>
    </i>
    <i r="1">
      <x v="42"/>
    </i>
    <i r="1">
      <x v="51"/>
    </i>
    <i r="1">
      <x v="52"/>
    </i>
    <i r="1">
      <x v="55"/>
    </i>
    <i r="1">
      <x v="99"/>
    </i>
    <i r="1">
      <x v="101"/>
    </i>
    <i r="1">
      <x v="102"/>
    </i>
    <i r="1">
      <x v="110"/>
    </i>
    <i>
      <x v="1"/>
    </i>
    <i r="1">
      <x v="92"/>
    </i>
    <i>
      <x v="2"/>
    </i>
    <i r="1">
      <x v="44"/>
    </i>
    <i>
      <x v="3"/>
    </i>
    <i r="1">
      <x v="8"/>
    </i>
    <i r="1">
      <x v="103"/>
    </i>
    <i>
      <x v="4"/>
    </i>
    <i r="1">
      <x v="48"/>
    </i>
    <i>
      <x v="5"/>
    </i>
    <i r="1">
      <x v="71"/>
    </i>
    <i>
      <x v="6"/>
    </i>
    <i r="1">
      <x v="34"/>
    </i>
    <i r="1">
      <x v="54"/>
    </i>
    <i>
      <x v="7"/>
    </i>
    <i r="1">
      <x v="32"/>
    </i>
    <i>
      <x v="8"/>
    </i>
    <i r="1">
      <x v="43"/>
    </i>
    <i>
      <x v="9"/>
    </i>
    <i r="1">
      <x v="88"/>
    </i>
    <i>
      <x v="10"/>
    </i>
    <i r="1">
      <x v="4"/>
    </i>
    <i>
      <x v="11"/>
    </i>
    <i r="1">
      <x v="90"/>
    </i>
    <i>
      <x v="12"/>
    </i>
    <i r="1">
      <x v="17"/>
    </i>
    <i r="1">
      <x v="21"/>
    </i>
    <i r="1">
      <x v="23"/>
    </i>
    <i r="1">
      <x v="64"/>
    </i>
    <i r="1">
      <x v="79"/>
    </i>
    <i>
      <x v="13"/>
    </i>
    <i r="1">
      <x v="83"/>
    </i>
    <i r="1">
      <x v="86"/>
    </i>
    <i r="1">
      <x v="89"/>
    </i>
    <i r="1">
      <x v="98"/>
    </i>
    <i>
      <x v="14"/>
    </i>
    <i r="1">
      <x v="2"/>
    </i>
    <i r="1">
      <x v="9"/>
    </i>
    <i r="1">
      <x v="35"/>
    </i>
    <i r="1">
      <x v="47"/>
    </i>
    <i r="1">
      <x v="109"/>
    </i>
    <i>
      <x v="15"/>
    </i>
    <i r="1">
      <x v="14"/>
    </i>
    <i>
      <x v="16"/>
    </i>
    <i r="1">
      <x v="82"/>
    </i>
    <i r="1">
      <x v="107"/>
    </i>
    <i>
      <x v="17"/>
    </i>
    <i r="1">
      <x v="108"/>
    </i>
    <i>
      <x v="18"/>
    </i>
    <i r="1">
      <x v="80"/>
    </i>
    <i>
      <x v="19"/>
    </i>
    <i r="1">
      <x v="67"/>
    </i>
    <i>
      <x v="20"/>
    </i>
    <i r="1">
      <x v="74"/>
    </i>
    <i>
      <x v="21"/>
    </i>
    <i r="1">
      <x v="33"/>
    </i>
    <i>
      <x v="22"/>
    </i>
    <i r="1">
      <x v="96"/>
    </i>
    <i>
      <x v="23"/>
    </i>
    <i r="1">
      <x v="11"/>
    </i>
    <i>
      <x v="24"/>
    </i>
    <i r="1">
      <x v="62"/>
    </i>
    <i r="1">
      <x v="66"/>
    </i>
    <i>
      <x v="25"/>
    </i>
    <i r="1">
      <x v="18"/>
    </i>
    <i>
      <x v="26"/>
    </i>
    <i r="1">
      <x v="16"/>
    </i>
    <i r="1">
      <x v="38"/>
    </i>
    <i r="1">
      <x v="56"/>
    </i>
    <i r="1">
      <x v="72"/>
    </i>
    <i>
      <x v="27"/>
    </i>
    <i r="1">
      <x v="10"/>
    </i>
    <i r="1">
      <x v="94"/>
    </i>
    <i>
      <x v="28"/>
    </i>
    <i r="1">
      <x v="22"/>
    </i>
    <i>
      <x v="29"/>
    </i>
    <i r="1">
      <x v="70"/>
    </i>
    <i>
      <x v="30"/>
    </i>
    <i r="1">
      <x v="78"/>
    </i>
    <i>
      <x v="31"/>
    </i>
    <i r="1">
      <x v="29"/>
    </i>
    <i r="1">
      <x v="30"/>
    </i>
    <i>
      <x v="32"/>
    </i>
    <i r="1">
      <x v="81"/>
    </i>
    <i r="1">
      <x v="84"/>
    </i>
    <i>
      <x v="33"/>
    </i>
    <i r="1">
      <x v="24"/>
    </i>
    <i r="1">
      <x v="26"/>
    </i>
    <i r="1">
      <x v="40"/>
    </i>
    <i r="1">
      <x v="87"/>
    </i>
    <i>
      <x v="34"/>
    </i>
    <i r="1">
      <x v="59"/>
    </i>
    <i>
      <x v="35"/>
    </i>
    <i r="1">
      <x v="37"/>
    </i>
    <i>
      <x v="36"/>
    </i>
    <i r="1">
      <x v="57"/>
    </i>
    <i r="1">
      <x v="63"/>
    </i>
    <i r="1">
      <x v="76"/>
    </i>
    <i r="1">
      <x v="85"/>
    </i>
    <i r="1">
      <x v="97"/>
    </i>
    <i r="1">
      <x v="104"/>
    </i>
    <i r="1">
      <x v="106"/>
    </i>
    <i>
      <x v="37"/>
    </i>
    <i r="1">
      <x v="60"/>
    </i>
    <i>
      <x v="38"/>
    </i>
    <i r="1">
      <x v="93"/>
    </i>
    <i>
      <x v="39"/>
    </i>
    <i r="1">
      <x v="50"/>
    </i>
    <i r="1">
      <x v="65"/>
    </i>
    <i r="1">
      <x v="75"/>
    </i>
    <i>
      <x v="40"/>
    </i>
    <i r="1">
      <x v="39"/>
    </i>
    <i r="1">
      <x v="49"/>
    </i>
    <i>
      <x v="41"/>
    </i>
    <i r="1">
      <x v="25"/>
    </i>
    <i r="1">
      <x v="53"/>
    </i>
    <i r="1">
      <x v="68"/>
    </i>
    <i r="1">
      <x v="91"/>
    </i>
    <i>
      <x v="42"/>
    </i>
    <i r="1">
      <x v="111"/>
    </i>
    <i>
      <x v="43"/>
    </i>
    <i r="1">
      <x v="3"/>
    </i>
    <i>
      <x v="44"/>
    </i>
    <i r="1">
      <x v="20"/>
    </i>
    <i r="1">
      <x v="58"/>
    </i>
    <i r="1">
      <x v="95"/>
    </i>
    <i>
      <x v="45"/>
    </i>
    <i r="1">
      <x v="69"/>
    </i>
    <i>
      <x v="46"/>
    </i>
    <i r="1">
      <x v="61"/>
    </i>
    <i>
      <x v="47"/>
    </i>
    <i r="1">
      <x v="46"/>
    </i>
    <i>
      <x v="48"/>
    </i>
    <i r="1">
      <x v="27"/>
    </i>
    <i r="1">
      <x v="45"/>
    </i>
    <i>
      <x v="49"/>
    </i>
    <i r="1">
      <x v="15"/>
    </i>
    <i>
      <x v="50"/>
    </i>
    <i r="1">
      <x v="73"/>
    </i>
    <i>
      <x v="51"/>
    </i>
    <i r="1">
      <x v="77"/>
    </i>
    <i>
      <x v="52"/>
    </i>
    <i r="1">
      <x/>
    </i>
    <i>
      <x v="53"/>
    </i>
    <i r="1">
      <x v="13"/>
    </i>
    <i>
      <x v="54"/>
    </i>
    <i r="1">
      <x v="115"/>
    </i>
    <i>
      <x v="55"/>
    </i>
    <i r="1">
      <x v="6"/>
    </i>
    <i r="1">
      <x v="12"/>
    </i>
    <i r="1">
      <x v="28"/>
    </i>
    <i r="1">
      <x v="31"/>
    </i>
    <i r="1">
      <x v="100"/>
    </i>
    <i r="1">
      <x v="105"/>
    </i>
    <i r="1">
      <x v="112"/>
    </i>
    <i r="1">
      <x v="113"/>
    </i>
    <i r="1">
      <x v="1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F6A5-2004-4B78-A503-C9E8A5265B21}">
  <dimension ref="A2:BJ84"/>
  <sheetViews>
    <sheetView workbookViewId="0">
      <selection activeCell="J7" sqref="J7"/>
    </sheetView>
  </sheetViews>
  <sheetFormatPr defaultRowHeight="15" x14ac:dyDescent="0.25"/>
  <cols>
    <col min="1" max="1" width="15.7109375" customWidth="1"/>
    <col min="6" max="6" width="6.85546875" style="1" customWidth="1"/>
    <col min="7" max="22" width="6.85546875" style="30" customWidth="1"/>
    <col min="25" max="25" width="18.7109375" bestFit="1" customWidth="1"/>
    <col min="26" max="26" width="19.140625" customWidth="1"/>
    <col min="28" max="44" width="6.28515625" customWidth="1"/>
    <col min="47" max="62" width="7.7109375" customWidth="1"/>
  </cols>
  <sheetData>
    <row r="2" spans="1:62" ht="15.75" thickBot="1" x14ac:dyDescent="0.3">
      <c r="K2" s="30" t="s">
        <v>41</v>
      </c>
    </row>
    <row r="3" spans="1:62" ht="28.5" customHeight="1" thickTop="1" thickBot="1" x14ac:dyDescent="0.3">
      <c r="A3" t="s">
        <v>34</v>
      </c>
      <c r="B3" t="s">
        <v>33</v>
      </c>
      <c r="C3" t="s">
        <v>128</v>
      </c>
      <c r="D3" t="s">
        <v>35</v>
      </c>
      <c r="G3" s="1" t="str">
        <f>+DEC2HEX(HEX2DEC(0),2)</f>
        <v>00</v>
      </c>
      <c r="H3" s="1" t="str">
        <f>+DEC2HEX(HEX2DEC(G3)+1,2)</f>
        <v>01</v>
      </c>
      <c r="I3" s="99" t="str">
        <f t="shared" ref="I3:V3" si="0">+DEC2HEX(HEX2DEC(H3)+1,2)</f>
        <v>02</v>
      </c>
      <c r="J3" s="1" t="str">
        <f t="shared" si="0"/>
        <v>03</v>
      </c>
      <c r="K3" s="1" t="str">
        <f t="shared" si="0"/>
        <v>04</v>
      </c>
      <c r="L3" s="1" t="str">
        <f t="shared" si="0"/>
        <v>05</v>
      </c>
      <c r="M3" s="1" t="str">
        <f t="shared" si="0"/>
        <v>06</v>
      </c>
      <c r="N3" s="1" t="str">
        <f t="shared" si="0"/>
        <v>07</v>
      </c>
      <c r="O3" s="1" t="str">
        <f t="shared" si="0"/>
        <v>08</v>
      </c>
      <c r="P3" s="1" t="str">
        <f t="shared" si="0"/>
        <v>09</v>
      </c>
      <c r="Q3" s="1" t="str">
        <f t="shared" si="0"/>
        <v>0A</v>
      </c>
      <c r="R3" s="1" t="str">
        <f t="shared" si="0"/>
        <v>0B</v>
      </c>
      <c r="S3" s="1" t="str">
        <f t="shared" si="0"/>
        <v>0C</v>
      </c>
      <c r="T3" s="99" t="str">
        <f t="shared" si="0"/>
        <v>0D</v>
      </c>
      <c r="U3" s="1" t="str">
        <f t="shared" si="0"/>
        <v>0E</v>
      </c>
      <c r="V3" s="1" t="str">
        <f t="shared" si="0"/>
        <v>0F</v>
      </c>
      <c r="Y3" s="118" t="s">
        <v>39</v>
      </c>
      <c r="AB3" s="1"/>
      <c r="AC3" s="1" t="str">
        <f>+DEC2HEX(HEX2DEC(0),2)</f>
        <v>00</v>
      </c>
      <c r="AD3" s="1" t="str">
        <f>+DEC2HEX(HEX2DEC(AC3)+1,2)</f>
        <v>01</v>
      </c>
      <c r="AE3" s="1" t="str">
        <f t="shared" ref="AE3:AR3" si="1">+DEC2HEX(HEX2DEC(AD3)+1,2)</f>
        <v>02</v>
      </c>
      <c r="AF3" s="1" t="str">
        <f t="shared" si="1"/>
        <v>03</v>
      </c>
      <c r="AG3" s="1" t="str">
        <f t="shared" si="1"/>
        <v>04</v>
      </c>
      <c r="AH3" s="1" t="str">
        <f t="shared" si="1"/>
        <v>05</v>
      </c>
      <c r="AI3" s="1" t="str">
        <f t="shared" si="1"/>
        <v>06</v>
      </c>
      <c r="AJ3" s="1" t="str">
        <f t="shared" si="1"/>
        <v>07</v>
      </c>
      <c r="AK3" s="1" t="str">
        <f t="shared" si="1"/>
        <v>08</v>
      </c>
      <c r="AL3" s="1" t="str">
        <f t="shared" si="1"/>
        <v>09</v>
      </c>
      <c r="AM3" s="1" t="str">
        <f t="shared" si="1"/>
        <v>0A</v>
      </c>
      <c r="AN3" s="1" t="str">
        <f t="shared" si="1"/>
        <v>0B</v>
      </c>
      <c r="AO3" s="1" t="str">
        <f t="shared" si="1"/>
        <v>0C</v>
      </c>
      <c r="AP3" s="1" t="str">
        <f t="shared" si="1"/>
        <v>0D</v>
      </c>
      <c r="AQ3" s="1" t="str">
        <f t="shared" si="1"/>
        <v>0E</v>
      </c>
      <c r="AR3" s="1" t="str">
        <f t="shared" si="1"/>
        <v>0F</v>
      </c>
      <c r="AT3" s="1"/>
      <c r="AU3" s="1" t="str">
        <f>+DEC2HEX(HEX2DEC(0),2)</f>
        <v>00</v>
      </c>
      <c r="AV3" s="1" t="str">
        <f>+DEC2HEX(HEX2DEC(AU3)+1,2)</f>
        <v>01</v>
      </c>
      <c r="AW3" s="1" t="str">
        <f t="shared" ref="AW3:BJ3" si="2">+DEC2HEX(HEX2DEC(AV3)+1,2)</f>
        <v>02</v>
      </c>
      <c r="AX3" s="1" t="str">
        <f t="shared" si="2"/>
        <v>03</v>
      </c>
      <c r="AY3" s="1" t="str">
        <f t="shared" si="2"/>
        <v>04</v>
      </c>
      <c r="AZ3" s="1" t="str">
        <f t="shared" si="2"/>
        <v>05</v>
      </c>
      <c r="BA3" s="1" t="str">
        <f t="shared" si="2"/>
        <v>06</v>
      </c>
      <c r="BB3" s="1" t="str">
        <f t="shared" si="2"/>
        <v>07</v>
      </c>
      <c r="BC3" s="1" t="str">
        <f t="shared" si="2"/>
        <v>08</v>
      </c>
      <c r="BD3" s="1" t="str">
        <f t="shared" si="2"/>
        <v>09</v>
      </c>
      <c r="BE3" s="1" t="str">
        <f t="shared" si="2"/>
        <v>0A</v>
      </c>
      <c r="BF3" s="1" t="str">
        <f t="shared" si="2"/>
        <v>0B</v>
      </c>
      <c r="BG3" s="1" t="str">
        <f t="shared" si="2"/>
        <v>0C</v>
      </c>
      <c r="BH3" s="1" t="str">
        <f t="shared" si="2"/>
        <v>0D</v>
      </c>
      <c r="BI3" s="1" t="str">
        <f t="shared" si="2"/>
        <v>0E</v>
      </c>
      <c r="BJ3" s="1" t="str">
        <f t="shared" si="2"/>
        <v>0F</v>
      </c>
    </row>
    <row r="4" spans="1:62" ht="28.5" customHeight="1" thickTop="1" x14ac:dyDescent="0.25">
      <c r="A4">
        <v>1</v>
      </c>
      <c r="B4" t="s">
        <v>2</v>
      </c>
      <c r="C4" t="s">
        <v>129</v>
      </c>
      <c r="D4" t="s">
        <v>57</v>
      </c>
      <c r="F4" s="1" t="str">
        <f>+DEC2HEX(HEX2DEC(0),2)</f>
        <v>00</v>
      </c>
      <c r="G4" s="55" t="s">
        <v>27</v>
      </c>
      <c r="H4" s="56"/>
      <c r="I4" s="56"/>
      <c r="J4" s="9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  <c r="Y4" s="29" t="s">
        <v>49</v>
      </c>
      <c r="Z4" s="29" t="s">
        <v>47</v>
      </c>
      <c r="AB4" s="1" t="str">
        <f>+DEC2HEX(HEX2DEC(0),2)</f>
        <v>00</v>
      </c>
      <c r="AC4" s="139"/>
      <c r="AD4" s="140"/>
      <c r="AE4" s="140"/>
      <c r="AF4" s="157"/>
      <c r="AG4" s="121"/>
      <c r="AH4" s="121"/>
      <c r="AI4" s="121"/>
      <c r="AJ4" s="121"/>
      <c r="AK4" s="156"/>
      <c r="AL4" s="135"/>
      <c r="AM4" s="135"/>
      <c r="AN4" s="136"/>
      <c r="AO4" s="106"/>
      <c r="AP4" s="106"/>
      <c r="AQ4" s="106"/>
      <c r="AR4" s="107"/>
      <c r="AT4" s="1" t="str">
        <f>+DEC2HEX(HEX2DEC(0),2)</f>
        <v>00</v>
      </c>
      <c r="AU4" s="10"/>
      <c r="AV4" s="11"/>
      <c r="AW4" s="11"/>
      <c r="AX4" s="11"/>
      <c r="AY4" s="11"/>
      <c r="AZ4" s="11"/>
      <c r="BA4" s="11"/>
      <c r="BB4" s="11"/>
      <c r="BC4" s="11"/>
      <c r="BD4" s="11"/>
      <c r="BE4" s="15"/>
      <c r="BF4" s="15"/>
      <c r="BG4" s="15"/>
      <c r="BH4" s="15"/>
      <c r="BI4" s="15"/>
      <c r="BJ4" s="16"/>
    </row>
    <row r="5" spans="1:62" ht="28.5" customHeight="1" x14ac:dyDescent="0.25">
      <c r="A5">
        <v>2</v>
      </c>
      <c r="B5" t="s">
        <v>32</v>
      </c>
      <c r="F5" s="1" t="str">
        <f>+DEC2HEX(HEX2DEC(F4)+1,2)</f>
        <v>01</v>
      </c>
      <c r="G5" s="57"/>
      <c r="H5" s="58"/>
      <c r="I5" s="58"/>
      <c r="J5" s="97"/>
      <c r="K5" s="15"/>
      <c r="L5" s="15"/>
      <c r="M5" s="75" t="s">
        <v>26</v>
      </c>
      <c r="N5" s="72"/>
      <c r="O5" s="72" t="s">
        <v>144</v>
      </c>
      <c r="P5" s="72"/>
      <c r="Q5" s="73"/>
      <c r="R5" s="15"/>
      <c r="S5" s="15"/>
      <c r="T5" s="5" t="s">
        <v>30</v>
      </c>
      <c r="U5" s="6"/>
      <c r="V5" s="17"/>
      <c r="Y5" s="2" t="s">
        <v>1</v>
      </c>
      <c r="Z5" s="124" t="s">
        <v>43</v>
      </c>
      <c r="AB5" s="1" t="str">
        <f>+DEC2HEX(HEX2DEC(AB4)+1,2)</f>
        <v>01</v>
      </c>
      <c r="AC5" s="141"/>
      <c r="AD5" s="142"/>
      <c r="AE5" s="142"/>
      <c r="AF5" s="82"/>
      <c r="AG5" s="32"/>
      <c r="AH5" s="32"/>
      <c r="AI5" s="32"/>
      <c r="AJ5" s="32"/>
      <c r="AK5" s="90"/>
      <c r="AL5" s="87"/>
      <c r="AM5" s="87"/>
      <c r="AN5" s="137"/>
      <c r="AO5" s="101"/>
      <c r="AP5" s="101"/>
      <c r="AQ5" s="101"/>
      <c r="AR5" s="102"/>
      <c r="AT5" s="1" t="str">
        <f>+DEC2HEX(HEX2DEC(AT4)+1,2)</f>
        <v>01</v>
      </c>
      <c r="AU5" s="14"/>
      <c r="AV5" s="1"/>
      <c r="AW5" s="1"/>
      <c r="AX5" s="1"/>
      <c r="AY5" s="1"/>
      <c r="AZ5" s="1"/>
      <c r="BA5" s="1"/>
      <c r="BB5" s="1"/>
      <c r="BC5" s="1"/>
      <c r="BD5" s="1"/>
      <c r="BE5" s="15"/>
      <c r="BF5" s="15"/>
      <c r="BG5" s="15"/>
      <c r="BH5" s="5"/>
      <c r="BI5" s="6"/>
      <c r="BJ5" s="17"/>
    </row>
    <row r="6" spans="1:62" ht="28.5" customHeight="1" x14ac:dyDescent="0.25">
      <c r="A6">
        <v>3</v>
      </c>
      <c r="B6" t="s">
        <v>19</v>
      </c>
      <c r="D6" t="s">
        <v>58</v>
      </c>
      <c r="F6" s="99" t="str">
        <f t="shared" ref="F6:F19" si="3">+DEC2HEX(HEX2DEC(F5)+1,2)</f>
        <v>02</v>
      </c>
      <c r="G6" s="57"/>
      <c r="H6" s="58"/>
      <c r="I6" s="58"/>
      <c r="J6" s="97" t="s">
        <v>255</v>
      </c>
      <c r="K6" s="15"/>
      <c r="L6" s="15"/>
      <c r="M6" s="76"/>
      <c r="N6" s="53"/>
      <c r="O6" s="53"/>
      <c r="P6" s="53"/>
      <c r="Q6" s="74"/>
      <c r="R6" s="47"/>
      <c r="S6" s="47"/>
      <c r="T6" s="7"/>
      <c r="U6" s="18"/>
      <c r="V6" s="19"/>
      <c r="Y6" s="27" t="s">
        <v>2</v>
      </c>
      <c r="Z6" s="122" t="s">
        <v>42</v>
      </c>
      <c r="AB6" s="1" t="str">
        <f t="shared" ref="AB6:AB19" si="4">+DEC2HEX(HEX2DEC(AB5)+1,2)</f>
        <v>02</v>
      </c>
      <c r="AC6" s="141"/>
      <c r="AD6" s="142"/>
      <c r="AE6" s="142"/>
      <c r="AF6" s="82"/>
      <c r="AG6" s="32"/>
      <c r="AH6" s="32"/>
      <c r="AI6" s="32"/>
      <c r="AJ6" s="32"/>
      <c r="AK6" s="90"/>
      <c r="AL6" s="87"/>
      <c r="AM6" s="87"/>
      <c r="AN6" s="137"/>
      <c r="AO6" s="101"/>
      <c r="AP6" s="101"/>
      <c r="AQ6" s="101"/>
      <c r="AR6" s="102"/>
      <c r="AT6" s="1" t="str">
        <f t="shared" ref="AT6:AT19" si="5">+DEC2HEX(HEX2DEC(AT5)+1,2)</f>
        <v>02</v>
      </c>
      <c r="AU6" s="14"/>
      <c r="AV6" s="1"/>
      <c r="AW6" s="1"/>
      <c r="AX6" s="1"/>
      <c r="AY6" s="1"/>
      <c r="AZ6" s="1"/>
      <c r="BA6" s="1"/>
      <c r="BB6" s="1"/>
      <c r="BC6" s="1"/>
      <c r="BD6" s="1"/>
      <c r="BE6" s="15"/>
      <c r="BF6" s="15"/>
      <c r="BG6" s="15"/>
      <c r="BH6" s="7"/>
      <c r="BI6" s="18"/>
      <c r="BJ6" s="19"/>
    </row>
    <row r="7" spans="1:62" ht="28.5" customHeight="1" x14ac:dyDescent="0.25">
      <c r="A7">
        <v>4</v>
      </c>
      <c r="B7" t="s">
        <v>20</v>
      </c>
      <c r="D7" t="s">
        <v>64</v>
      </c>
      <c r="F7" s="1" t="str">
        <f t="shared" si="3"/>
        <v>03</v>
      </c>
      <c r="G7" s="94"/>
      <c r="H7" s="95"/>
      <c r="I7" s="95" t="s">
        <v>255</v>
      </c>
      <c r="J7" s="98" t="s">
        <v>255</v>
      </c>
      <c r="K7" s="15"/>
      <c r="L7" s="15"/>
      <c r="M7" s="76"/>
      <c r="N7" s="53"/>
      <c r="O7" s="53"/>
      <c r="P7" s="53"/>
      <c r="Q7" s="74"/>
      <c r="R7" s="47"/>
      <c r="S7" s="47"/>
      <c r="T7" s="8"/>
      <c r="U7" s="9"/>
      <c r="V7" s="20"/>
      <c r="Y7" s="26" t="s">
        <v>50</v>
      </c>
      <c r="Z7" s="27" t="s">
        <v>44</v>
      </c>
      <c r="AB7" s="1" t="str">
        <f t="shared" si="4"/>
        <v>03</v>
      </c>
      <c r="AC7" s="141"/>
      <c r="AD7" s="142"/>
      <c r="AE7" s="158"/>
      <c r="AF7" s="84"/>
      <c r="AG7" s="85"/>
      <c r="AH7" s="85"/>
      <c r="AI7" s="85"/>
      <c r="AJ7" s="86"/>
      <c r="AK7" s="90"/>
      <c r="AL7" s="87"/>
      <c r="AM7" s="87"/>
      <c r="AN7" s="137"/>
      <c r="AO7" s="101"/>
      <c r="AP7" s="101"/>
      <c r="AQ7" s="101"/>
      <c r="AR7" s="102"/>
      <c r="AT7" s="1" t="str">
        <f t="shared" si="5"/>
        <v>03</v>
      </c>
      <c r="AU7" s="14"/>
      <c r="AV7" s="1"/>
      <c r="AW7" s="1"/>
      <c r="AX7" s="1"/>
      <c r="AY7" s="1"/>
      <c r="AZ7" s="1"/>
      <c r="BA7" s="1"/>
      <c r="BB7" s="1"/>
      <c r="BC7" s="1"/>
      <c r="BD7" s="1"/>
      <c r="BE7" s="15"/>
      <c r="BF7" s="15"/>
      <c r="BG7" s="15"/>
      <c r="BH7" s="8"/>
      <c r="BI7" s="9"/>
      <c r="BJ7" s="20"/>
    </row>
    <row r="8" spans="1:62" ht="28.5" customHeight="1" x14ac:dyDescent="0.25">
      <c r="A8">
        <v>5</v>
      </c>
      <c r="B8" t="s">
        <v>36</v>
      </c>
      <c r="C8" t="s">
        <v>130</v>
      </c>
      <c r="D8" t="s">
        <v>69</v>
      </c>
      <c r="F8" s="1" t="str">
        <f t="shared" si="3"/>
        <v>04</v>
      </c>
      <c r="G8" s="40"/>
      <c r="H8" s="15"/>
      <c r="I8" s="15"/>
      <c r="J8" s="15"/>
      <c r="K8" s="15"/>
      <c r="L8" s="15"/>
      <c r="M8" s="76"/>
      <c r="N8" s="53"/>
      <c r="O8" s="53"/>
      <c r="P8" s="87"/>
      <c r="Q8" s="163"/>
      <c r="R8" s="47"/>
      <c r="S8" s="47"/>
      <c r="T8" s="47"/>
      <c r="U8" s="47"/>
      <c r="V8" s="48"/>
      <c r="Y8" s="4" t="s">
        <v>38</v>
      </c>
      <c r="Z8" s="3" t="s">
        <v>45</v>
      </c>
      <c r="AB8" s="1" t="str">
        <f t="shared" si="4"/>
        <v>04</v>
      </c>
      <c r="AC8" s="141"/>
      <c r="AD8" s="160"/>
      <c r="AE8" s="15"/>
      <c r="AF8" s="15"/>
      <c r="AG8" s="15"/>
      <c r="AH8" s="15"/>
      <c r="AI8" s="15"/>
      <c r="AJ8" s="15"/>
      <c r="AK8" s="91"/>
      <c r="AL8" s="87"/>
      <c r="AM8" s="87"/>
      <c r="AN8" s="162"/>
      <c r="AO8" s="101"/>
      <c r="AP8" s="101"/>
      <c r="AQ8" s="101"/>
      <c r="AR8" s="102"/>
      <c r="AT8" s="1" t="str">
        <f t="shared" si="5"/>
        <v>04</v>
      </c>
      <c r="AU8" s="14"/>
      <c r="AV8" s="1"/>
      <c r="AW8" s="1"/>
      <c r="AX8" s="1"/>
      <c r="AY8" s="1"/>
      <c r="AZ8" s="1"/>
      <c r="BA8" s="1"/>
      <c r="BB8" s="1"/>
      <c r="BC8" s="1"/>
      <c r="BD8" s="1"/>
      <c r="BE8" s="15"/>
      <c r="BF8" s="15"/>
      <c r="BG8" s="15"/>
      <c r="BH8" s="15"/>
      <c r="BI8" s="15"/>
      <c r="BJ8" s="16"/>
    </row>
    <row r="9" spans="1:62" ht="28.5" customHeight="1" thickBot="1" x14ac:dyDescent="0.3">
      <c r="A9">
        <v>6</v>
      </c>
      <c r="B9" t="s">
        <v>0</v>
      </c>
      <c r="C9" t="s">
        <v>131</v>
      </c>
      <c r="D9" t="s">
        <v>135</v>
      </c>
      <c r="F9" s="1" t="str">
        <f t="shared" si="3"/>
        <v>05</v>
      </c>
      <c r="G9" s="40"/>
      <c r="H9" s="15"/>
      <c r="I9" s="15"/>
      <c r="J9" s="15"/>
      <c r="K9" s="34"/>
      <c r="L9" s="34"/>
      <c r="M9" s="90"/>
      <c r="N9" s="53"/>
      <c r="O9" s="53"/>
      <c r="P9" s="87"/>
      <c r="Q9" s="164"/>
      <c r="R9" s="47"/>
      <c r="S9" s="47"/>
      <c r="T9" s="47"/>
      <c r="U9" s="47"/>
      <c r="V9" s="48"/>
      <c r="Y9" s="3" t="s">
        <v>3</v>
      </c>
      <c r="Z9" s="41" t="s">
        <v>46</v>
      </c>
      <c r="AB9" s="1" t="str">
        <f t="shared" si="4"/>
        <v>05</v>
      </c>
      <c r="AC9" s="159"/>
      <c r="AD9" s="161"/>
      <c r="AE9" s="15"/>
      <c r="AF9" s="154"/>
      <c r="AG9" s="70"/>
      <c r="AH9" s="70"/>
      <c r="AI9" s="70"/>
      <c r="AJ9" s="70"/>
      <c r="AK9" s="152"/>
      <c r="AL9" s="152"/>
      <c r="AM9" s="153"/>
      <c r="AN9" s="16"/>
      <c r="AO9" s="101"/>
      <c r="AP9" s="101"/>
      <c r="AQ9" s="101"/>
      <c r="AR9" s="102"/>
      <c r="AT9" s="1" t="str">
        <f t="shared" si="5"/>
        <v>05</v>
      </c>
      <c r="AU9" s="14"/>
      <c r="AV9" s="1"/>
      <c r="AW9" s="1"/>
      <c r="AX9" s="1"/>
      <c r="AY9" s="1"/>
      <c r="AZ9" s="1"/>
      <c r="BA9" s="1"/>
      <c r="BB9" s="1"/>
      <c r="BC9" s="1"/>
      <c r="BD9" s="1"/>
      <c r="BE9" s="15"/>
      <c r="BF9" s="15"/>
      <c r="BG9" s="15"/>
      <c r="BH9" s="15"/>
      <c r="BI9" s="15"/>
      <c r="BJ9" s="16"/>
    </row>
    <row r="10" spans="1:62" ht="28.5" customHeight="1" thickTop="1" x14ac:dyDescent="0.25">
      <c r="A10">
        <v>7</v>
      </c>
      <c r="B10" t="s">
        <v>37</v>
      </c>
      <c r="C10" s="165" t="s">
        <v>132</v>
      </c>
      <c r="D10" t="s">
        <v>136</v>
      </c>
      <c r="F10" s="1" t="str">
        <f t="shared" si="3"/>
        <v>06</v>
      </c>
      <c r="G10" s="40"/>
      <c r="H10" s="15"/>
      <c r="I10" s="78"/>
      <c r="J10" s="77"/>
      <c r="K10" s="77"/>
      <c r="L10" s="77"/>
      <c r="M10" s="109"/>
      <c r="N10" s="110"/>
      <c r="O10" s="110"/>
      <c r="P10" s="111"/>
      <c r="Q10" s="70"/>
      <c r="R10" s="70"/>
      <c r="S10" s="70"/>
      <c r="T10" s="71" t="s">
        <v>24</v>
      </c>
      <c r="U10" s="47"/>
      <c r="V10" s="48"/>
      <c r="Y10" s="37" t="s">
        <v>17</v>
      </c>
      <c r="Z10" s="25" t="s">
        <v>48</v>
      </c>
      <c r="AB10" s="1" t="str">
        <f t="shared" si="4"/>
        <v>06</v>
      </c>
      <c r="AC10" s="40"/>
      <c r="AD10" s="15"/>
      <c r="AE10" s="31"/>
      <c r="AF10" s="155"/>
      <c r="AG10" s="134"/>
      <c r="AH10" s="134"/>
      <c r="AI10" s="134"/>
      <c r="AJ10" s="134"/>
      <c r="AK10" s="125"/>
      <c r="AL10" s="125"/>
      <c r="AM10" s="150"/>
      <c r="AN10" s="16"/>
      <c r="AO10" s="101"/>
      <c r="AP10" s="101"/>
      <c r="AQ10" s="101"/>
      <c r="AR10" s="102"/>
      <c r="AT10" s="1" t="str">
        <f t="shared" si="5"/>
        <v>06</v>
      </c>
      <c r="AU10" s="14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1"/>
    </row>
    <row r="11" spans="1:62" ht="28.5" customHeight="1" thickBot="1" x14ac:dyDescent="0.3">
      <c r="A11">
        <v>8</v>
      </c>
      <c r="B11" t="s">
        <v>38</v>
      </c>
      <c r="C11" t="s">
        <v>133</v>
      </c>
      <c r="D11" t="s">
        <v>143</v>
      </c>
      <c r="F11" s="1" t="str">
        <f t="shared" si="3"/>
        <v>07</v>
      </c>
      <c r="G11" s="40"/>
      <c r="H11" s="15"/>
      <c r="I11" s="79" t="s">
        <v>25</v>
      </c>
      <c r="J11" s="52"/>
      <c r="K11" s="52"/>
      <c r="L11" s="88"/>
      <c r="M11" s="112"/>
      <c r="N11" s="88"/>
      <c r="O11" s="88"/>
      <c r="P11" s="113"/>
      <c r="Q11" s="42"/>
      <c r="R11" s="42"/>
      <c r="S11" s="42"/>
      <c r="T11" s="64"/>
      <c r="U11" s="47"/>
      <c r="V11" s="48"/>
      <c r="Y11" s="59" t="s">
        <v>22</v>
      </c>
      <c r="Z11" s="138" t="s">
        <v>51</v>
      </c>
      <c r="AB11" s="1" t="str">
        <f t="shared" si="4"/>
        <v>07</v>
      </c>
      <c r="AC11" s="40"/>
      <c r="AD11" s="15"/>
      <c r="AE11" s="31"/>
      <c r="AF11" s="155"/>
      <c r="AG11" s="134"/>
      <c r="AH11" s="134"/>
      <c r="AI11" s="134"/>
      <c r="AJ11" s="134"/>
      <c r="AK11" s="125"/>
      <c r="AL11" s="125"/>
      <c r="AM11" s="150"/>
      <c r="AN11" s="16"/>
      <c r="AO11" s="101"/>
      <c r="AP11" s="101"/>
      <c r="AQ11" s="101"/>
      <c r="AR11" s="102"/>
      <c r="AT11" s="1" t="str">
        <f t="shared" si="5"/>
        <v>07</v>
      </c>
      <c r="AU11" s="14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1"/>
    </row>
    <row r="12" spans="1:62" ht="28.5" customHeight="1" thickTop="1" thickBot="1" x14ac:dyDescent="0.3">
      <c r="A12" t="s">
        <v>188</v>
      </c>
      <c r="B12" t="s">
        <v>189</v>
      </c>
      <c r="F12" s="1" t="str">
        <f t="shared" si="3"/>
        <v>08</v>
      </c>
      <c r="G12" s="40"/>
      <c r="H12" s="15"/>
      <c r="I12" s="79"/>
      <c r="J12" s="52"/>
      <c r="K12" s="52"/>
      <c r="L12" s="52"/>
      <c r="M12" s="114"/>
      <c r="N12" s="115"/>
      <c r="O12" s="116"/>
      <c r="P12" s="117"/>
      <c r="Q12" s="68"/>
      <c r="R12" s="68"/>
      <c r="S12" s="68"/>
      <c r="T12" s="69"/>
      <c r="U12" s="93"/>
      <c r="V12" s="48"/>
      <c r="Y12" s="41" t="s">
        <v>18</v>
      </c>
      <c r="AB12" s="1" t="str">
        <f t="shared" si="4"/>
        <v>08</v>
      </c>
      <c r="AC12" s="126"/>
      <c r="AD12" s="127"/>
      <c r="AE12" s="127"/>
      <c r="AF12" s="167"/>
      <c r="AG12" s="168"/>
      <c r="AH12" s="168"/>
      <c r="AI12" s="169"/>
      <c r="AJ12" s="166"/>
      <c r="AK12" s="149"/>
      <c r="AL12" s="149"/>
      <c r="AM12" s="151"/>
      <c r="AN12" s="16"/>
      <c r="AO12" s="101"/>
      <c r="AP12" s="101"/>
      <c r="AQ12" s="101"/>
      <c r="AR12" s="102"/>
      <c r="AT12" s="1" t="str">
        <f t="shared" si="5"/>
        <v>08</v>
      </c>
      <c r="AU12" s="14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1"/>
    </row>
    <row r="13" spans="1:62" ht="28.5" customHeight="1" thickTop="1" x14ac:dyDescent="0.25">
      <c r="A13" t="s">
        <v>52</v>
      </c>
      <c r="B13" t="s">
        <v>53</v>
      </c>
      <c r="F13" s="1" t="str">
        <f t="shared" si="3"/>
        <v>09</v>
      </c>
      <c r="G13" s="40"/>
      <c r="H13" s="15"/>
      <c r="I13" s="79"/>
      <c r="J13" s="52"/>
      <c r="K13" s="52"/>
      <c r="L13" s="83"/>
      <c r="M13" s="108"/>
      <c r="N13" s="108"/>
      <c r="O13" s="88"/>
      <c r="P13" s="62"/>
      <c r="Q13" s="34"/>
      <c r="R13" s="34"/>
      <c r="S13" s="34"/>
      <c r="T13" s="47"/>
      <c r="U13" s="93"/>
      <c r="V13" s="48"/>
      <c r="Y13" s="51" t="s">
        <v>19</v>
      </c>
      <c r="AB13" s="1" t="str">
        <f t="shared" si="4"/>
        <v>09</v>
      </c>
      <c r="AC13" s="129"/>
      <c r="AD13" s="123"/>
      <c r="AE13" s="123"/>
      <c r="AF13" s="123"/>
      <c r="AG13" s="123"/>
      <c r="AH13" s="123"/>
      <c r="AI13" s="130"/>
      <c r="AJ13" s="31"/>
      <c r="AK13" s="31"/>
      <c r="AL13" s="31"/>
      <c r="AM13" s="15"/>
      <c r="AN13" s="16"/>
      <c r="AO13" s="101"/>
      <c r="AP13" s="101"/>
      <c r="AQ13" s="101"/>
      <c r="AR13" s="102"/>
      <c r="AT13" s="1" t="str">
        <f t="shared" si="5"/>
        <v>09</v>
      </c>
      <c r="AU13" s="1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1"/>
    </row>
    <row r="14" spans="1:62" ht="28.5" customHeight="1" thickBot="1" x14ac:dyDescent="0.3">
      <c r="A14" t="s">
        <v>54</v>
      </c>
      <c r="B14">
        <v>1</v>
      </c>
      <c r="F14" s="1" t="str">
        <f t="shared" si="3"/>
        <v>0A</v>
      </c>
      <c r="G14" s="40"/>
      <c r="H14" s="15"/>
      <c r="I14" s="79"/>
      <c r="J14" s="52"/>
      <c r="K14" s="52"/>
      <c r="L14" s="82"/>
      <c r="M14" s="32"/>
      <c r="N14" s="32"/>
      <c r="O14" s="87"/>
      <c r="P14" s="63"/>
      <c r="Q14" s="34"/>
      <c r="R14" s="34"/>
      <c r="S14" s="34"/>
      <c r="T14" s="47"/>
      <c r="U14" s="93"/>
      <c r="V14" s="48"/>
      <c r="Y14" s="54" t="s">
        <v>21</v>
      </c>
      <c r="AB14" s="1" t="str">
        <f t="shared" si="4"/>
        <v>0A</v>
      </c>
      <c r="AC14" s="129"/>
      <c r="AD14" s="123"/>
      <c r="AE14" s="123"/>
      <c r="AF14" s="123"/>
      <c r="AG14" s="123"/>
      <c r="AH14" s="33"/>
      <c r="AI14" s="131"/>
      <c r="AJ14" s="146"/>
      <c r="AK14" s="147"/>
      <c r="AL14" s="147"/>
      <c r="AM14" s="147"/>
      <c r="AN14" s="148"/>
      <c r="AO14" s="101"/>
      <c r="AP14" s="101"/>
      <c r="AQ14" s="101"/>
      <c r="AR14" s="102"/>
      <c r="AT14" s="1" t="str">
        <f t="shared" si="5"/>
        <v>0A</v>
      </c>
      <c r="AU14" s="1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1"/>
    </row>
    <row r="15" spans="1:62" ht="28.5" customHeight="1" thickTop="1" x14ac:dyDescent="0.25">
      <c r="A15" t="s">
        <v>56</v>
      </c>
      <c r="B15">
        <v>1</v>
      </c>
      <c r="F15" s="1" t="str">
        <f t="shared" si="3"/>
        <v>0B</v>
      </c>
      <c r="G15" s="40"/>
      <c r="H15" s="15"/>
      <c r="I15" s="80"/>
      <c r="J15" s="81"/>
      <c r="K15" s="81"/>
      <c r="L15" s="82"/>
      <c r="M15" s="32"/>
      <c r="N15" s="87"/>
      <c r="O15" s="87"/>
      <c r="P15" s="63"/>
      <c r="Q15" s="66"/>
      <c r="R15" s="66"/>
      <c r="S15" s="67" t="s">
        <v>23</v>
      </c>
      <c r="T15" s="92"/>
      <c r="U15" s="47"/>
      <c r="V15" s="48"/>
      <c r="Y15" s="25" t="s">
        <v>31</v>
      </c>
      <c r="AB15" s="1" t="str">
        <f t="shared" si="4"/>
        <v>0B</v>
      </c>
      <c r="AC15" s="143"/>
      <c r="AD15" s="127"/>
      <c r="AE15" s="128"/>
      <c r="AF15" s="123"/>
      <c r="AG15" s="123"/>
      <c r="AH15" s="33"/>
      <c r="AI15" s="131"/>
      <c r="AJ15" s="43"/>
      <c r="AK15" s="43"/>
      <c r="AL15" s="43"/>
      <c r="AM15" s="43"/>
      <c r="AN15" s="44"/>
      <c r="AO15" s="101"/>
      <c r="AP15" s="101"/>
      <c r="AQ15" s="101"/>
      <c r="AR15" s="102"/>
      <c r="AT15" s="1" t="str">
        <f t="shared" si="5"/>
        <v>0B</v>
      </c>
      <c r="AU15" s="1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1"/>
    </row>
    <row r="16" spans="1:62" ht="28.5" customHeight="1" x14ac:dyDescent="0.25">
      <c r="A16" t="s">
        <v>61</v>
      </c>
      <c r="F16" s="1" t="str">
        <f t="shared" si="3"/>
        <v>0C</v>
      </c>
      <c r="G16" s="40"/>
      <c r="H16" s="15"/>
      <c r="I16" s="60"/>
      <c r="J16" s="60"/>
      <c r="K16" s="60"/>
      <c r="L16" s="82"/>
      <c r="M16" s="32"/>
      <c r="N16" s="87"/>
      <c r="O16" s="32"/>
      <c r="P16" s="63"/>
      <c r="Q16" s="33"/>
      <c r="R16" s="33"/>
      <c r="S16" s="65"/>
      <c r="T16" s="47"/>
      <c r="U16" s="47"/>
      <c r="V16" s="48"/>
      <c r="Y16" s="28" t="s">
        <v>125</v>
      </c>
      <c r="AB16" s="1" t="str">
        <f t="shared" si="4"/>
        <v>0C</v>
      </c>
      <c r="AC16" s="144"/>
      <c r="AD16" s="123"/>
      <c r="AE16" s="130"/>
      <c r="AF16" s="123"/>
      <c r="AG16" s="123"/>
      <c r="AH16" s="33"/>
      <c r="AI16" s="131"/>
      <c r="AJ16" s="43"/>
      <c r="AK16" s="43"/>
      <c r="AL16" s="43"/>
      <c r="AM16" s="43"/>
      <c r="AN16" s="44"/>
      <c r="AO16" s="101"/>
      <c r="AP16" s="101"/>
      <c r="AQ16" s="101"/>
      <c r="AR16" s="102"/>
      <c r="AT16" s="1" t="str">
        <f t="shared" si="5"/>
        <v>0C</v>
      </c>
      <c r="AU16" s="1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1"/>
    </row>
    <row r="17" spans="1:62" ht="28.5" customHeight="1" thickBot="1" x14ac:dyDescent="0.3">
      <c r="A17" t="s">
        <v>55</v>
      </c>
      <c r="B17">
        <v>1</v>
      </c>
      <c r="F17" s="1" t="str">
        <f t="shared" si="3"/>
        <v>0D</v>
      </c>
      <c r="G17" s="40"/>
      <c r="H17" s="15"/>
      <c r="I17" s="15"/>
      <c r="J17" s="15"/>
      <c r="K17" s="15"/>
      <c r="L17" s="82" t="s">
        <v>28</v>
      </c>
      <c r="M17" s="32"/>
      <c r="N17" s="87"/>
      <c r="O17" s="32"/>
      <c r="P17" s="63"/>
      <c r="Q17" s="33"/>
      <c r="R17" s="33"/>
      <c r="S17" s="65"/>
      <c r="T17" s="47"/>
      <c r="U17" s="47"/>
      <c r="V17" s="48"/>
      <c r="AB17" s="1" t="str">
        <f t="shared" si="4"/>
        <v>0D</v>
      </c>
      <c r="AC17" s="119"/>
      <c r="AD17" s="36"/>
      <c r="AE17" s="145"/>
      <c r="AF17" s="132"/>
      <c r="AG17" s="132"/>
      <c r="AH17" s="132"/>
      <c r="AI17" s="133"/>
      <c r="AJ17" s="45"/>
      <c r="AK17" s="45"/>
      <c r="AL17" s="45"/>
      <c r="AM17" s="45"/>
      <c r="AN17" s="46"/>
      <c r="AO17" s="101"/>
      <c r="AP17" s="101"/>
      <c r="AQ17" s="101"/>
      <c r="AR17" s="102"/>
      <c r="AT17" s="1" t="str">
        <f t="shared" si="5"/>
        <v>0D</v>
      </c>
      <c r="AU17" s="1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1"/>
    </row>
    <row r="18" spans="1:62" ht="28.5" customHeight="1" thickTop="1" x14ac:dyDescent="0.25">
      <c r="A18" t="s">
        <v>62</v>
      </c>
      <c r="B18">
        <v>2</v>
      </c>
      <c r="F18" s="1" t="str">
        <f t="shared" si="3"/>
        <v>0E</v>
      </c>
      <c r="G18" s="40"/>
      <c r="H18" s="15"/>
      <c r="I18" s="15"/>
      <c r="J18" s="15"/>
      <c r="K18" s="15"/>
      <c r="L18" s="84"/>
      <c r="M18" s="85"/>
      <c r="N18" s="89"/>
      <c r="O18" s="85"/>
      <c r="P18" s="86"/>
      <c r="Q18" s="33"/>
      <c r="R18" s="36"/>
      <c r="S18" s="65"/>
      <c r="T18" s="47"/>
      <c r="U18" s="47" t="s">
        <v>29</v>
      </c>
      <c r="V18" s="48"/>
      <c r="AB18" s="1" t="str">
        <f t="shared" si="4"/>
        <v>0E</v>
      </c>
      <c r="AC18" s="100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2"/>
      <c r="AT18" s="1" t="str">
        <f t="shared" si="5"/>
        <v>0E</v>
      </c>
      <c r="AU18" s="1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1"/>
    </row>
    <row r="19" spans="1:62" ht="28.5" customHeight="1" x14ac:dyDescent="0.25">
      <c r="A19" t="s">
        <v>63</v>
      </c>
      <c r="F19" s="99" t="str">
        <f t="shared" si="3"/>
        <v>0F</v>
      </c>
      <c r="G19" s="61"/>
      <c r="H19" s="39"/>
      <c r="I19" s="39"/>
      <c r="J19" s="39"/>
      <c r="K19" s="39"/>
      <c r="L19" s="35"/>
      <c r="M19" s="35"/>
      <c r="N19" s="89"/>
      <c r="O19" s="35"/>
      <c r="P19" s="35"/>
      <c r="Q19" s="120"/>
      <c r="R19" s="38"/>
      <c r="S19" s="120"/>
      <c r="T19" s="49"/>
      <c r="U19" s="49"/>
      <c r="V19" s="50"/>
      <c r="AB19" s="1" t="str">
        <f t="shared" si="4"/>
        <v>0F</v>
      </c>
      <c r="AC19" s="103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5"/>
      <c r="AT19" s="1" t="str">
        <f t="shared" si="5"/>
        <v>0F</v>
      </c>
      <c r="AU19" s="22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4"/>
    </row>
    <row r="20" spans="1:62" x14ac:dyDescent="0.25">
      <c r="A20" t="s">
        <v>64</v>
      </c>
      <c r="B20">
        <v>5</v>
      </c>
    </row>
    <row r="21" spans="1:62" x14ac:dyDescent="0.25">
      <c r="A21" t="s">
        <v>65</v>
      </c>
      <c r="B21">
        <v>8</v>
      </c>
    </row>
    <row r="22" spans="1:62" x14ac:dyDescent="0.25">
      <c r="A22" t="s">
        <v>66</v>
      </c>
    </row>
    <row r="23" spans="1:62" x14ac:dyDescent="0.25">
      <c r="A23" t="s">
        <v>67</v>
      </c>
    </row>
    <row r="24" spans="1:62" x14ac:dyDescent="0.25">
      <c r="A24" t="s">
        <v>68</v>
      </c>
      <c r="B24">
        <v>3</v>
      </c>
      <c r="C24" t="s">
        <v>126</v>
      </c>
      <c r="G24" s="30" t="s">
        <v>4</v>
      </c>
    </row>
    <row r="25" spans="1:62" x14ac:dyDescent="0.25">
      <c r="A25" t="s">
        <v>69</v>
      </c>
      <c r="B25">
        <v>6</v>
      </c>
      <c r="G25" s="30" t="s">
        <v>5</v>
      </c>
    </row>
    <row r="26" spans="1:62" x14ac:dyDescent="0.25">
      <c r="A26" t="s">
        <v>70</v>
      </c>
      <c r="G26" s="30" t="s">
        <v>6</v>
      </c>
    </row>
    <row r="27" spans="1:62" x14ac:dyDescent="0.25">
      <c r="A27" t="s">
        <v>71</v>
      </c>
      <c r="B27" t="s">
        <v>134</v>
      </c>
      <c r="G27" s="30" t="s">
        <v>7</v>
      </c>
    </row>
    <row r="28" spans="1:62" x14ac:dyDescent="0.25">
      <c r="A28" t="s">
        <v>72</v>
      </c>
      <c r="B28">
        <v>5</v>
      </c>
      <c r="G28" s="30" t="s">
        <v>8</v>
      </c>
    </row>
    <row r="29" spans="1:62" x14ac:dyDescent="0.25">
      <c r="A29" t="s">
        <v>60</v>
      </c>
      <c r="B29">
        <v>2</v>
      </c>
    </row>
    <row r="30" spans="1:62" x14ac:dyDescent="0.25">
      <c r="A30" t="s">
        <v>58</v>
      </c>
      <c r="B30">
        <v>4</v>
      </c>
      <c r="G30" s="30" t="s">
        <v>9</v>
      </c>
    </row>
    <row r="31" spans="1:62" x14ac:dyDescent="0.25">
      <c r="A31" t="s">
        <v>57</v>
      </c>
      <c r="B31">
        <v>2</v>
      </c>
      <c r="C31" t="s">
        <v>127</v>
      </c>
      <c r="G31" s="30" t="s">
        <v>13</v>
      </c>
    </row>
    <row r="32" spans="1:62" x14ac:dyDescent="0.25">
      <c r="A32" t="s">
        <v>73</v>
      </c>
      <c r="G32" s="30" t="s">
        <v>14</v>
      </c>
    </row>
    <row r="33" spans="1:7" x14ac:dyDescent="0.25">
      <c r="A33" t="s">
        <v>74</v>
      </c>
      <c r="B33">
        <v>3</v>
      </c>
      <c r="G33" s="30" t="s">
        <v>10</v>
      </c>
    </row>
    <row r="34" spans="1:7" x14ac:dyDescent="0.25">
      <c r="A34" t="s">
        <v>75</v>
      </c>
      <c r="B34">
        <v>2</v>
      </c>
      <c r="G34" s="30" t="s">
        <v>11</v>
      </c>
    </row>
    <row r="35" spans="1:7" x14ac:dyDescent="0.25">
      <c r="A35" t="s">
        <v>76</v>
      </c>
      <c r="B35">
        <v>3</v>
      </c>
    </row>
    <row r="36" spans="1:7" x14ac:dyDescent="0.25">
      <c r="A36" t="s">
        <v>77</v>
      </c>
      <c r="B36">
        <v>5</v>
      </c>
      <c r="G36" s="30" t="s">
        <v>12</v>
      </c>
    </row>
    <row r="37" spans="1:7" x14ac:dyDescent="0.25">
      <c r="A37" t="s">
        <v>78</v>
      </c>
      <c r="B37">
        <v>2</v>
      </c>
      <c r="G37" s="30" t="s">
        <v>15</v>
      </c>
    </row>
    <row r="38" spans="1:7" x14ac:dyDescent="0.25">
      <c r="A38" t="s">
        <v>79</v>
      </c>
      <c r="B38" t="s">
        <v>134</v>
      </c>
    </row>
    <row r="39" spans="1:7" x14ac:dyDescent="0.25">
      <c r="A39" t="s">
        <v>80</v>
      </c>
      <c r="B39" t="s">
        <v>134</v>
      </c>
    </row>
    <row r="40" spans="1:7" x14ac:dyDescent="0.25">
      <c r="A40" t="s">
        <v>81</v>
      </c>
      <c r="B40" t="s">
        <v>134</v>
      </c>
    </row>
    <row r="41" spans="1:7" x14ac:dyDescent="0.25">
      <c r="A41" t="s">
        <v>82</v>
      </c>
      <c r="B41">
        <v>1</v>
      </c>
      <c r="G41" s="30" t="s">
        <v>16</v>
      </c>
    </row>
    <row r="42" spans="1:7" x14ac:dyDescent="0.25">
      <c r="A42" t="s">
        <v>84</v>
      </c>
    </row>
    <row r="43" spans="1:7" x14ac:dyDescent="0.25">
      <c r="A43" t="s">
        <v>83</v>
      </c>
      <c r="B43">
        <v>4</v>
      </c>
    </row>
    <row r="44" spans="1:7" x14ac:dyDescent="0.25">
      <c r="A44" t="s">
        <v>85</v>
      </c>
      <c r="G44" s="30" t="s">
        <v>40</v>
      </c>
    </row>
    <row r="45" spans="1:7" x14ac:dyDescent="0.25">
      <c r="A45" t="s">
        <v>86</v>
      </c>
    </row>
    <row r="46" spans="1:7" x14ac:dyDescent="0.25">
      <c r="A46" t="s">
        <v>87</v>
      </c>
      <c r="G46" s="30" t="s">
        <v>59</v>
      </c>
    </row>
    <row r="47" spans="1:7" x14ac:dyDescent="0.25">
      <c r="A47" t="s">
        <v>88</v>
      </c>
    </row>
    <row r="48" spans="1:7" x14ac:dyDescent="0.25">
      <c r="A48" t="s">
        <v>89</v>
      </c>
    </row>
    <row r="49" spans="1:2" x14ac:dyDescent="0.25">
      <c r="A49" t="s">
        <v>90</v>
      </c>
    </row>
    <row r="50" spans="1:2" x14ac:dyDescent="0.25">
      <c r="A50" t="s">
        <v>91</v>
      </c>
    </row>
    <row r="51" spans="1:2" x14ac:dyDescent="0.25">
      <c r="A51" t="s">
        <v>92</v>
      </c>
      <c r="B51">
        <v>7</v>
      </c>
    </row>
    <row r="52" spans="1:2" x14ac:dyDescent="0.25">
      <c r="A52" t="s">
        <v>93</v>
      </c>
    </row>
    <row r="53" spans="1:2" x14ac:dyDescent="0.25">
      <c r="A53" t="s">
        <v>94</v>
      </c>
    </row>
    <row r="54" spans="1:2" x14ac:dyDescent="0.25">
      <c r="A54" t="s">
        <v>95</v>
      </c>
    </row>
    <row r="55" spans="1:2" x14ac:dyDescent="0.25">
      <c r="A55" t="s">
        <v>96</v>
      </c>
    </row>
    <row r="56" spans="1:2" x14ac:dyDescent="0.25">
      <c r="A56" t="s">
        <v>97</v>
      </c>
    </row>
    <row r="57" spans="1:2" x14ac:dyDescent="0.25">
      <c r="A57" t="s">
        <v>98</v>
      </c>
    </row>
    <row r="58" spans="1:2" x14ac:dyDescent="0.25">
      <c r="A58" t="s">
        <v>99</v>
      </c>
    </row>
    <row r="59" spans="1:2" x14ac:dyDescent="0.25">
      <c r="A59" t="s">
        <v>100</v>
      </c>
    </row>
    <row r="60" spans="1:2" x14ac:dyDescent="0.25">
      <c r="A60" t="s">
        <v>101</v>
      </c>
    </row>
    <row r="61" spans="1:2" x14ac:dyDescent="0.25">
      <c r="A61" t="s">
        <v>102</v>
      </c>
    </row>
    <row r="62" spans="1:2" x14ac:dyDescent="0.25">
      <c r="A62" t="s">
        <v>103</v>
      </c>
    </row>
    <row r="63" spans="1:2" x14ac:dyDescent="0.25">
      <c r="A63" t="s">
        <v>104</v>
      </c>
    </row>
    <row r="64" spans="1:2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108</v>
      </c>
    </row>
    <row r="68" spans="1:1" x14ac:dyDescent="0.25">
      <c r="A68" t="s">
        <v>109</v>
      </c>
    </row>
    <row r="69" spans="1:1" x14ac:dyDescent="0.25">
      <c r="A69" t="s">
        <v>110</v>
      </c>
    </row>
    <row r="70" spans="1:1" x14ac:dyDescent="0.25">
      <c r="A70" t="s">
        <v>111</v>
      </c>
    </row>
    <row r="71" spans="1:1" x14ac:dyDescent="0.25">
      <c r="A71" t="s">
        <v>112</v>
      </c>
    </row>
    <row r="72" spans="1:1" x14ac:dyDescent="0.25">
      <c r="A72" t="s">
        <v>113</v>
      </c>
    </row>
    <row r="73" spans="1:1" x14ac:dyDescent="0.25">
      <c r="A73" t="s">
        <v>114</v>
      </c>
    </row>
    <row r="74" spans="1:1" x14ac:dyDescent="0.25">
      <c r="A74" t="s">
        <v>115</v>
      </c>
    </row>
    <row r="75" spans="1:1" x14ac:dyDescent="0.25">
      <c r="A75" t="s">
        <v>116</v>
      </c>
    </row>
    <row r="76" spans="1:1" x14ac:dyDescent="0.25">
      <c r="A76" t="s">
        <v>117</v>
      </c>
    </row>
    <row r="77" spans="1:1" x14ac:dyDescent="0.25">
      <c r="A77" t="s">
        <v>118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101</v>
      </c>
    </row>
    <row r="82" spans="1:1" x14ac:dyDescent="0.25">
      <c r="A82" t="s">
        <v>122</v>
      </c>
    </row>
    <row r="83" spans="1:1" x14ac:dyDescent="0.25">
      <c r="A83" t="s">
        <v>123</v>
      </c>
    </row>
    <row r="84" spans="1:1" x14ac:dyDescent="0.25">
      <c r="A8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4A67-1854-48F7-8871-AFF9A8D0AD63}">
  <dimension ref="B5:H178"/>
  <sheetViews>
    <sheetView tabSelected="1" workbookViewId="0">
      <selection activeCell="F11" sqref="F11"/>
    </sheetView>
  </sheetViews>
  <sheetFormatPr defaultRowHeight="15" x14ac:dyDescent="0.25"/>
  <cols>
    <col min="2" max="2" width="27.5703125" bestFit="1" customWidth="1"/>
    <col min="8" max="8" width="36" bestFit="1" customWidth="1"/>
    <col min="9" max="9" width="13.42578125" bestFit="1" customWidth="1"/>
  </cols>
  <sheetData>
    <row r="5" spans="2:8" x14ac:dyDescent="0.25">
      <c r="B5" t="s">
        <v>147</v>
      </c>
      <c r="C5" t="s">
        <v>148</v>
      </c>
      <c r="H5" s="171" t="s">
        <v>314</v>
      </c>
    </row>
    <row r="6" spans="2:8" x14ac:dyDescent="0.25">
      <c r="B6" t="s">
        <v>145</v>
      </c>
      <c r="C6" t="s">
        <v>146</v>
      </c>
      <c r="H6" s="30" t="s">
        <v>165</v>
      </c>
    </row>
    <row r="7" spans="2:8" x14ac:dyDescent="0.25">
      <c r="B7" t="s">
        <v>150</v>
      </c>
      <c r="C7" t="s">
        <v>149</v>
      </c>
      <c r="H7" s="172" t="s">
        <v>194</v>
      </c>
    </row>
    <row r="8" spans="2:8" x14ac:dyDescent="0.25">
      <c r="B8" t="s">
        <v>152</v>
      </c>
      <c r="C8" t="s">
        <v>151</v>
      </c>
      <c r="H8" s="172" t="s">
        <v>236</v>
      </c>
    </row>
    <row r="9" spans="2:8" x14ac:dyDescent="0.25">
      <c r="B9" t="s">
        <v>153</v>
      </c>
      <c r="C9" t="s">
        <v>154</v>
      </c>
      <c r="H9" s="172" t="s">
        <v>219</v>
      </c>
    </row>
    <row r="10" spans="2:8" x14ac:dyDescent="0.25">
      <c r="B10" t="s">
        <v>155</v>
      </c>
      <c r="C10" t="s">
        <v>156</v>
      </c>
      <c r="H10" s="172" t="s">
        <v>202</v>
      </c>
    </row>
    <row r="11" spans="2:8" x14ac:dyDescent="0.25">
      <c r="B11" t="s">
        <v>158</v>
      </c>
      <c r="C11" t="s">
        <v>157</v>
      </c>
      <c r="H11" s="172" t="s">
        <v>239</v>
      </c>
    </row>
    <row r="12" spans="2:8" x14ac:dyDescent="0.25">
      <c r="B12" t="s">
        <v>38</v>
      </c>
      <c r="C12" t="s">
        <v>159</v>
      </c>
      <c r="H12" s="172" t="s">
        <v>164</v>
      </c>
    </row>
    <row r="13" spans="2:8" x14ac:dyDescent="0.25">
      <c r="C13" t="s">
        <v>160</v>
      </c>
      <c r="H13" s="172" t="s">
        <v>237</v>
      </c>
    </row>
    <row r="14" spans="2:8" x14ac:dyDescent="0.25">
      <c r="B14" t="s">
        <v>162</v>
      </c>
      <c r="C14" t="s">
        <v>161</v>
      </c>
      <c r="H14" s="172" t="s">
        <v>206</v>
      </c>
    </row>
    <row r="15" spans="2:8" x14ac:dyDescent="0.25">
      <c r="C15" t="s">
        <v>163</v>
      </c>
      <c r="H15" s="172" t="s">
        <v>203</v>
      </c>
    </row>
    <row r="16" spans="2:8" x14ac:dyDescent="0.25">
      <c r="B16" t="s">
        <v>165</v>
      </c>
      <c r="C16" t="s">
        <v>164</v>
      </c>
      <c r="H16" s="172" t="s">
        <v>238</v>
      </c>
    </row>
    <row r="17" spans="2:8" x14ac:dyDescent="0.25">
      <c r="B17" t="s">
        <v>167</v>
      </c>
      <c r="C17" t="s">
        <v>166</v>
      </c>
      <c r="H17" s="172" t="s">
        <v>208</v>
      </c>
    </row>
    <row r="18" spans="2:8" x14ac:dyDescent="0.25">
      <c r="B18" t="s">
        <v>27</v>
      </c>
      <c r="C18" t="s">
        <v>168</v>
      </c>
      <c r="H18" s="172" t="s">
        <v>201</v>
      </c>
    </row>
    <row r="19" spans="2:8" x14ac:dyDescent="0.25">
      <c r="C19" t="s">
        <v>169</v>
      </c>
      <c r="H19" s="172" t="s">
        <v>193</v>
      </c>
    </row>
    <row r="20" spans="2:8" x14ac:dyDescent="0.25">
      <c r="B20" t="s">
        <v>171</v>
      </c>
      <c r="C20" t="s">
        <v>170</v>
      </c>
      <c r="H20" s="172" t="s">
        <v>220</v>
      </c>
    </row>
    <row r="21" spans="2:8" x14ac:dyDescent="0.25">
      <c r="B21" t="s">
        <v>155</v>
      </c>
      <c r="C21" t="s">
        <v>172</v>
      </c>
      <c r="H21" s="30" t="s">
        <v>312</v>
      </c>
    </row>
    <row r="22" spans="2:8" x14ac:dyDescent="0.25">
      <c r="B22" t="s">
        <v>173</v>
      </c>
      <c r="C22" t="s">
        <v>174</v>
      </c>
      <c r="H22" s="172" t="s">
        <v>311</v>
      </c>
    </row>
    <row r="23" spans="2:8" x14ac:dyDescent="0.25">
      <c r="B23" t="s">
        <v>23</v>
      </c>
      <c r="C23" t="s">
        <v>175</v>
      </c>
      <c r="H23" s="30" t="s">
        <v>265</v>
      </c>
    </row>
    <row r="24" spans="2:8" x14ac:dyDescent="0.25">
      <c r="B24" t="s">
        <v>177</v>
      </c>
      <c r="C24" t="s">
        <v>176</v>
      </c>
      <c r="H24" s="172" t="s">
        <v>304</v>
      </c>
    </row>
    <row r="25" spans="2:8" x14ac:dyDescent="0.25">
      <c r="B25" t="s">
        <v>155</v>
      </c>
      <c r="C25" t="s">
        <v>178</v>
      </c>
      <c r="H25" s="30" t="s">
        <v>248</v>
      </c>
    </row>
    <row r="26" spans="2:8" x14ac:dyDescent="0.25">
      <c r="B26" t="s">
        <v>180</v>
      </c>
      <c r="C26" t="s">
        <v>179</v>
      </c>
      <c r="H26" s="172" t="s">
        <v>247</v>
      </c>
    </row>
    <row r="27" spans="2:8" x14ac:dyDescent="0.25">
      <c r="C27" t="s">
        <v>181</v>
      </c>
      <c r="H27" s="172" t="s">
        <v>260</v>
      </c>
    </row>
    <row r="28" spans="2:8" x14ac:dyDescent="0.25">
      <c r="B28" t="s">
        <v>152</v>
      </c>
      <c r="C28" t="s">
        <v>182</v>
      </c>
      <c r="H28" s="30" t="s">
        <v>246</v>
      </c>
    </row>
    <row r="29" spans="2:8" x14ac:dyDescent="0.25">
      <c r="B29" t="s">
        <v>184</v>
      </c>
      <c r="C29" t="s">
        <v>183</v>
      </c>
      <c r="H29" s="172" t="s">
        <v>245</v>
      </c>
    </row>
    <row r="30" spans="2:8" x14ac:dyDescent="0.25">
      <c r="B30" t="s">
        <v>184</v>
      </c>
      <c r="C30" t="s">
        <v>185</v>
      </c>
      <c r="H30" s="30" t="s">
        <v>306</v>
      </c>
    </row>
    <row r="31" spans="2:8" x14ac:dyDescent="0.25">
      <c r="B31" t="s">
        <v>187</v>
      </c>
      <c r="C31" t="s">
        <v>186</v>
      </c>
      <c r="H31" s="172" t="s">
        <v>305</v>
      </c>
    </row>
    <row r="32" spans="2:8" x14ac:dyDescent="0.25">
      <c r="B32" t="s">
        <v>191</v>
      </c>
      <c r="C32" t="s">
        <v>190</v>
      </c>
      <c r="H32" s="30" t="s">
        <v>210</v>
      </c>
    </row>
    <row r="33" spans="2:8" x14ac:dyDescent="0.25">
      <c r="B33" t="s">
        <v>28</v>
      </c>
      <c r="C33" t="s">
        <v>192</v>
      </c>
      <c r="H33" s="172" t="s">
        <v>298</v>
      </c>
    </row>
    <row r="34" spans="2:8" x14ac:dyDescent="0.25">
      <c r="B34" t="s">
        <v>165</v>
      </c>
      <c r="C34" t="s">
        <v>193</v>
      </c>
      <c r="H34" s="172" t="s">
        <v>209</v>
      </c>
    </row>
    <row r="35" spans="2:8" x14ac:dyDescent="0.25">
      <c r="B35" t="s">
        <v>165</v>
      </c>
      <c r="C35" t="s">
        <v>194</v>
      </c>
      <c r="H35" s="30" t="s">
        <v>243</v>
      </c>
    </row>
    <row r="36" spans="2:8" x14ac:dyDescent="0.25">
      <c r="B36" t="s">
        <v>196</v>
      </c>
      <c r="C36" t="s">
        <v>195</v>
      </c>
      <c r="H36" s="172" t="s">
        <v>242</v>
      </c>
    </row>
    <row r="37" spans="2:8" x14ac:dyDescent="0.25">
      <c r="B37" t="s">
        <v>198</v>
      </c>
      <c r="C37" t="s">
        <v>197</v>
      </c>
      <c r="H37" s="30" t="s">
        <v>180</v>
      </c>
    </row>
    <row r="38" spans="2:8" x14ac:dyDescent="0.25">
      <c r="B38" t="s">
        <v>200</v>
      </c>
      <c r="C38" t="s">
        <v>199</v>
      </c>
      <c r="H38" s="172" t="s">
        <v>179</v>
      </c>
    </row>
    <row r="39" spans="2:8" x14ac:dyDescent="0.25">
      <c r="B39" t="s">
        <v>165</v>
      </c>
      <c r="C39" t="s">
        <v>201</v>
      </c>
      <c r="H39" s="30" t="s">
        <v>271</v>
      </c>
    </row>
    <row r="40" spans="2:8" x14ac:dyDescent="0.25">
      <c r="B40" t="s">
        <v>165</v>
      </c>
      <c r="C40" t="s">
        <v>202</v>
      </c>
      <c r="H40" s="172" t="s">
        <v>270</v>
      </c>
    </row>
    <row r="41" spans="2:8" x14ac:dyDescent="0.25">
      <c r="B41" t="s">
        <v>165</v>
      </c>
      <c r="C41" t="s">
        <v>203</v>
      </c>
      <c r="H41" s="30" t="s">
        <v>167</v>
      </c>
    </row>
    <row r="42" spans="2:8" x14ac:dyDescent="0.25">
      <c r="B42" t="s">
        <v>205</v>
      </c>
      <c r="C42" t="s">
        <v>204</v>
      </c>
      <c r="H42" s="172" t="s">
        <v>166</v>
      </c>
    </row>
    <row r="43" spans="2:8" x14ac:dyDescent="0.25">
      <c r="B43" t="s">
        <v>165</v>
      </c>
      <c r="C43" t="s">
        <v>206</v>
      </c>
      <c r="H43" s="30" t="s">
        <v>171</v>
      </c>
    </row>
    <row r="44" spans="2:8" x14ac:dyDescent="0.25">
      <c r="B44" t="s">
        <v>150</v>
      </c>
      <c r="C44" t="s">
        <v>207</v>
      </c>
      <c r="H44" s="172" t="s">
        <v>170</v>
      </c>
    </row>
    <row r="45" spans="2:8" x14ac:dyDescent="0.25">
      <c r="B45" t="s">
        <v>165</v>
      </c>
      <c r="C45" t="s">
        <v>208</v>
      </c>
      <c r="H45" s="30" t="s">
        <v>155</v>
      </c>
    </row>
    <row r="46" spans="2:8" x14ac:dyDescent="0.25">
      <c r="B46" t="s">
        <v>210</v>
      </c>
      <c r="C46" t="s">
        <v>209</v>
      </c>
      <c r="H46" s="172" t="s">
        <v>156</v>
      </c>
    </row>
    <row r="47" spans="2:8" x14ac:dyDescent="0.25">
      <c r="B47" t="s">
        <v>212</v>
      </c>
      <c r="C47" t="s">
        <v>211</v>
      </c>
      <c r="H47" s="172" t="s">
        <v>259</v>
      </c>
    </row>
    <row r="48" spans="2:8" x14ac:dyDescent="0.25">
      <c r="B48" t="s">
        <v>30</v>
      </c>
      <c r="C48" t="s">
        <v>213</v>
      </c>
      <c r="H48" s="172" t="s">
        <v>230</v>
      </c>
    </row>
    <row r="49" spans="2:8" x14ac:dyDescent="0.25">
      <c r="B49" t="s">
        <v>191</v>
      </c>
      <c r="C49" t="s">
        <v>214</v>
      </c>
      <c r="H49" s="172" t="s">
        <v>178</v>
      </c>
    </row>
    <row r="50" spans="2:8" x14ac:dyDescent="0.25">
      <c r="B50" t="s">
        <v>26</v>
      </c>
      <c r="C50" t="s">
        <v>215</v>
      </c>
      <c r="H50" s="172" t="s">
        <v>172</v>
      </c>
    </row>
    <row r="51" spans="2:8" x14ac:dyDescent="0.25">
      <c r="B51" t="s">
        <v>217</v>
      </c>
      <c r="C51" t="s">
        <v>216</v>
      </c>
      <c r="H51" s="30" t="s">
        <v>241</v>
      </c>
    </row>
    <row r="52" spans="2:8" x14ac:dyDescent="0.25">
      <c r="B52" t="s">
        <v>26</v>
      </c>
      <c r="C52" t="s">
        <v>218</v>
      </c>
      <c r="H52" s="172" t="s">
        <v>269</v>
      </c>
    </row>
    <row r="53" spans="2:8" x14ac:dyDescent="0.25">
      <c r="B53" t="s">
        <v>165</v>
      </c>
      <c r="C53" t="s">
        <v>219</v>
      </c>
      <c r="H53" s="172" t="s">
        <v>240</v>
      </c>
    </row>
    <row r="54" spans="2:8" x14ac:dyDescent="0.25">
      <c r="B54" t="s">
        <v>165</v>
      </c>
      <c r="C54" t="s">
        <v>220</v>
      </c>
      <c r="H54" s="172" t="s">
        <v>264</v>
      </c>
    </row>
    <row r="55" spans="2:8" x14ac:dyDescent="0.25">
      <c r="B55" t="s">
        <v>222</v>
      </c>
      <c r="C55" t="s">
        <v>221</v>
      </c>
      <c r="H55" s="172" t="s">
        <v>280</v>
      </c>
    </row>
    <row r="56" spans="2:8" x14ac:dyDescent="0.25">
      <c r="B56" t="s">
        <v>224</v>
      </c>
      <c r="C56" t="s">
        <v>223</v>
      </c>
      <c r="H56" s="30" t="s">
        <v>191</v>
      </c>
    </row>
    <row r="57" spans="2:8" x14ac:dyDescent="0.25">
      <c r="B57" t="s">
        <v>222</v>
      </c>
      <c r="C57" t="s">
        <v>225</v>
      </c>
      <c r="H57" s="172" t="s">
        <v>263</v>
      </c>
    </row>
    <row r="58" spans="2:8" x14ac:dyDescent="0.25">
      <c r="B58" t="s">
        <v>227</v>
      </c>
      <c r="C58" t="s">
        <v>226</v>
      </c>
      <c r="H58" s="172" t="s">
        <v>214</v>
      </c>
    </row>
    <row r="59" spans="2:8" x14ac:dyDescent="0.25">
      <c r="B59" t="s">
        <v>150</v>
      </c>
      <c r="C59" t="s">
        <v>228</v>
      </c>
      <c r="H59" s="172" t="s">
        <v>190</v>
      </c>
    </row>
    <row r="60" spans="2:8" x14ac:dyDescent="0.25">
      <c r="B60" t="s">
        <v>227</v>
      </c>
      <c r="C60" t="s">
        <v>229</v>
      </c>
      <c r="H60" s="172" t="s">
        <v>310</v>
      </c>
    </row>
    <row r="61" spans="2:8" x14ac:dyDescent="0.25">
      <c r="B61" t="s">
        <v>155</v>
      </c>
      <c r="C61" t="s">
        <v>230</v>
      </c>
      <c r="H61" s="172" t="s">
        <v>258</v>
      </c>
    </row>
    <row r="62" spans="2:8" x14ac:dyDescent="0.25">
      <c r="B62" t="s">
        <v>224</v>
      </c>
      <c r="C62" t="s">
        <v>231</v>
      </c>
      <c r="H62" s="30" t="s">
        <v>288</v>
      </c>
    </row>
    <row r="63" spans="2:8" x14ac:dyDescent="0.25">
      <c r="B63" t="s">
        <v>222</v>
      </c>
      <c r="C63" t="s">
        <v>232</v>
      </c>
      <c r="H63" s="172" t="s">
        <v>287</v>
      </c>
    </row>
    <row r="64" spans="2:8" x14ac:dyDescent="0.25">
      <c r="B64" t="s">
        <v>234</v>
      </c>
      <c r="C64" t="s">
        <v>233</v>
      </c>
      <c r="H64" s="30" t="s">
        <v>262</v>
      </c>
    </row>
    <row r="65" spans="2:8" x14ac:dyDescent="0.25">
      <c r="B65" t="s">
        <v>212</v>
      </c>
      <c r="C65" t="s">
        <v>235</v>
      </c>
      <c r="H65" s="172" t="s">
        <v>261</v>
      </c>
    </row>
    <row r="66" spans="2:8" x14ac:dyDescent="0.25">
      <c r="B66" t="s">
        <v>165</v>
      </c>
      <c r="C66" t="s">
        <v>236</v>
      </c>
      <c r="H66" s="172" t="s">
        <v>277</v>
      </c>
    </row>
    <row r="67" spans="2:8" x14ac:dyDescent="0.25">
      <c r="B67" t="s">
        <v>165</v>
      </c>
      <c r="C67" t="s">
        <v>237</v>
      </c>
      <c r="H67" s="30" t="s">
        <v>279</v>
      </c>
    </row>
    <row r="68" spans="2:8" x14ac:dyDescent="0.25">
      <c r="B68" t="s">
        <v>165</v>
      </c>
      <c r="C68" t="s">
        <v>238</v>
      </c>
      <c r="H68" s="172" t="s">
        <v>278</v>
      </c>
    </row>
    <row r="69" spans="2:8" x14ac:dyDescent="0.25">
      <c r="B69" t="s">
        <v>165</v>
      </c>
      <c r="C69" t="s">
        <v>239</v>
      </c>
      <c r="H69" s="30" t="s">
        <v>187</v>
      </c>
    </row>
    <row r="70" spans="2:8" x14ac:dyDescent="0.25">
      <c r="B70" t="s">
        <v>241</v>
      </c>
      <c r="C70" t="s">
        <v>240</v>
      </c>
      <c r="H70" s="172" t="s">
        <v>186</v>
      </c>
    </row>
    <row r="71" spans="2:8" x14ac:dyDescent="0.25">
      <c r="B71" t="s">
        <v>243</v>
      </c>
      <c r="C71" t="s">
        <v>242</v>
      </c>
      <c r="H71" s="30" t="s">
        <v>23</v>
      </c>
    </row>
    <row r="72" spans="2:8" x14ac:dyDescent="0.25">
      <c r="B72" t="s">
        <v>184</v>
      </c>
      <c r="C72" t="s">
        <v>244</v>
      </c>
      <c r="H72" s="172" t="s">
        <v>175</v>
      </c>
    </row>
    <row r="73" spans="2:8" x14ac:dyDescent="0.25">
      <c r="B73" t="s">
        <v>246</v>
      </c>
      <c r="C73" t="s">
        <v>245</v>
      </c>
      <c r="H73" s="30" t="s">
        <v>273</v>
      </c>
    </row>
    <row r="74" spans="2:8" x14ac:dyDescent="0.25">
      <c r="B74" t="s">
        <v>248</v>
      </c>
      <c r="C74" t="s">
        <v>247</v>
      </c>
      <c r="H74" s="172" t="s">
        <v>274</v>
      </c>
    </row>
    <row r="75" spans="2:8" x14ac:dyDescent="0.25">
      <c r="B75" t="s">
        <v>250</v>
      </c>
      <c r="C75" t="s">
        <v>249</v>
      </c>
      <c r="H75" s="30" t="s">
        <v>234</v>
      </c>
    </row>
    <row r="76" spans="2:8" x14ac:dyDescent="0.25">
      <c r="B76" t="s">
        <v>252</v>
      </c>
      <c r="C76" t="s">
        <v>251</v>
      </c>
      <c r="H76" s="172" t="s">
        <v>233</v>
      </c>
    </row>
    <row r="77" spans="2:8" x14ac:dyDescent="0.25">
      <c r="B77" t="s">
        <v>254</v>
      </c>
      <c r="C77" t="s">
        <v>253</v>
      </c>
      <c r="H77" s="30" t="s">
        <v>25</v>
      </c>
    </row>
    <row r="78" spans="2:8" x14ac:dyDescent="0.25">
      <c r="B78" t="s">
        <v>257</v>
      </c>
      <c r="C78" t="s">
        <v>256</v>
      </c>
      <c r="H78" s="172" t="s">
        <v>299</v>
      </c>
    </row>
    <row r="79" spans="2:8" x14ac:dyDescent="0.25">
      <c r="B79" t="s">
        <v>191</v>
      </c>
      <c r="C79" t="s">
        <v>258</v>
      </c>
      <c r="H79" s="30" t="s">
        <v>196</v>
      </c>
    </row>
    <row r="80" spans="2:8" x14ac:dyDescent="0.25">
      <c r="B80" t="s">
        <v>155</v>
      </c>
      <c r="C80" t="s">
        <v>259</v>
      </c>
      <c r="H80" s="172" t="s">
        <v>195</v>
      </c>
    </row>
    <row r="81" spans="2:8" x14ac:dyDescent="0.25">
      <c r="B81" t="s">
        <v>248</v>
      </c>
      <c r="C81" t="s">
        <v>260</v>
      </c>
      <c r="H81" s="30" t="s">
        <v>26</v>
      </c>
    </row>
    <row r="82" spans="2:8" x14ac:dyDescent="0.25">
      <c r="B82" t="s">
        <v>262</v>
      </c>
      <c r="C82" t="s">
        <v>261</v>
      </c>
      <c r="H82" s="172" t="s">
        <v>215</v>
      </c>
    </row>
    <row r="83" spans="2:8" x14ac:dyDescent="0.25">
      <c r="B83" t="s">
        <v>191</v>
      </c>
      <c r="C83" t="s">
        <v>263</v>
      </c>
      <c r="H83" s="172" t="s">
        <v>218</v>
      </c>
    </row>
    <row r="84" spans="2:8" x14ac:dyDescent="0.25">
      <c r="B84" t="s">
        <v>241</v>
      </c>
      <c r="C84" t="s">
        <v>264</v>
      </c>
      <c r="H84" s="30" t="s">
        <v>27</v>
      </c>
    </row>
    <row r="85" spans="2:8" x14ac:dyDescent="0.25">
      <c r="B85" t="s">
        <v>173</v>
      </c>
      <c r="C85" t="s">
        <v>266</v>
      </c>
      <c r="H85" s="172" t="s">
        <v>168</v>
      </c>
    </row>
    <row r="86" spans="2:8" x14ac:dyDescent="0.25">
      <c r="B86" t="s">
        <v>268</v>
      </c>
      <c r="C86" t="s">
        <v>267</v>
      </c>
      <c r="H86" s="30" t="s">
        <v>252</v>
      </c>
    </row>
    <row r="87" spans="2:8" x14ac:dyDescent="0.25">
      <c r="B87" t="s">
        <v>241</v>
      </c>
      <c r="C87" t="s">
        <v>269</v>
      </c>
      <c r="H87" s="172" t="s">
        <v>309</v>
      </c>
    </row>
    <row r="88" spans="2:8" x14ac:dyDescent="0.25">
      <c r="B88" t="s">
        <v>271</v>
      </c>
      <c r="C88" t="s">
        <v>270</v>
      </c>
      <c r="H88" s="172" t="s">
        <v>272</v>
      </c>
    </row>
    <row r="89" spans="2:8" x14ac:dyDescent="0.25">
      <c r="B89" t="s">
        <v>252</v>
      </c>
      <c r="C89" t="s">
        <v>272</v>
      </c>
      <c r="H89" s="172" t="s">
        <v>251</v>
      </c>
    </row>
    <row r="90" spans="2:8" x14ac:dyDescent="0.25">
      <c r="B90" t="s">
        <v>273</v>
      </c>
      <c r="C90" t="s">
        <v>274</v>
      </c>
      <c r="H90" s="172" t="s">
        <v>313</v>
      </c>
    </row>
    <row r="91" spans="2:8" x14ac:dyDescent="0.25">
      <c r="B91" t="s">
        <v>276</v>
      </c>
      <c r="C91" t="s">
        <v>275</v>
      </c>
      <c r="H91" s="30" t="s">
        <v>28</v>
      </c>
    </row>
    <row r="92" spans="2:8" x14ac:dyDescent="0.25">
      <c r="B92" t="s">
        <v>262</v>
      </c>
      <c r="C92" t="s">
        <v>277</v>
      </c>
      <c r="H92" s="172" t="s">
        <v>308</v>
      </c>
    </row>
    <row r="93" spans="2:8" x14ac:dyDescent="0.25">
      <c r="B93" t="s">
        <v>279</v>
      </c>
      <c r="C93" t="s">
        <v>278</v>
      </c>
      <c r="H93" s="172" t="s">
        <v>192</v>
      </c>
    </row>
    <row r="94" spans="2:8" x14ac:dyDescent="0.25">
      <c r="B94" t="s">
        <v>241</v>
      </c>
      <c r="C94" t="s">
        <v>280</v>
      </c>
      <c r="H94" s="30" t="s">
        <v>217</v>
      </c>
    </row>
    <row r="95" spans="2:8" x14ac:dyDescent="0.25">
      <c r="B95" t="s">
        <v>184</v>
      </c>
      <c r="C95" t="s">
        <v>281</v>
      </c>
      <c r="H95" s="172" t="s">
        <v>216</v>
      </c>
    </row>
    <row r="96" spans="2:8" x14ac:dyDescent="0.25">
      <c r="B96" t="s">
        <v>222</v>
      </c>
      <c r="C96" t="s">
        <v>282</v>
      </c>
      <c r="H96" s="30" t="s">
        <v>30</v>
      </c>
    </row>
    <row r="97" spans="2:8" x14ac:dyDescent="0.25">
      <c r="B97" t="s">
        <v>150</v>
      </c>
      <c r="C97" t="s">
        <v>283</v>
      </c>
      <c r="H97" s="172" t="s">
        <v>213</v>
      </c>
    </row>
    <row r="98" spans="2:8" x14ac:dyDescent="0.25">
      <c r="B98" t="s">
        <v>184</v>
      </c>
      <c r="C98" t="s">
        <v>284</v>
      </c>
      <c r="H98" s="30" t="s">
        <v>297</v>
      </c>
    </row>
    <row r="99" spans="2:8" x14ac:dyDescent="0.25">
      <c r="B99" t="s">
        <v>276</v>
      </c>
      <c r="C99" t="s">
        <v>285</v>
      </c>
      <c r="H99" s="172" t="s">
        <v>296</v>
      </c>
    </row>
    <row r="100" spans="2:8" x14ac:dyDescent="0.25">
      <c r="C100" t="s">
        <v>286</v>
      </c>
      <c r="H100" s="30" t="s">
        <v>152</v>
      </c>
    </row>
    <row r="101" spans="2:8" x14ac:dyDescent="0.25">
      <c r="B101" t="s">
        <v>288</v>
      </c>
      <c r="C101" t="s">
        <v>287</v>
      </c>
      <c r="H101" s="172" t="s">
        <v>151</v>
      </c>
    </row>
    <row r="102" spans="2:8" x14ac:dyDescent="0.25">
      <c r="C102" t="s">
        <v>289</v>
      </c>
      <c r="H102" s="172" t="s">
        <v>182</v>
      </c>
    </row>
    <row r="103" spans="2:8" x14ac:dyDescent="0.25">
      <c r="C103" t="s">
        <v>290</v>
      </c>
      <c r="H103" s="30" t="s">
        <v>224</v>
      </c>
    </row>
    <row r="104" spans="2:8" x14ac:dyDescent="0.25">
      <c r="C104" t="s">
        <v>291</v>
      </c>
      <c r="H104" s="172" t="s">
        <v>231</v>
      </c>
    </row>
    <row r="105" spans="2:8" x14ac:dyDescent="0.25">
      <c r="B105" t="s">
        <v>173</v>
      </c>
      <c r="C105" t="s">
        <v>292</v>
      </c>
      <c r="H105" s="172" t="s">
        <v>223</v>
      </c>
    </row>
    <row r="106" spans="2:8" x14ac:dyDescent="0.25">
      <c r="B106" t="s">
        <v>294</v>
      </c>
      <c r="C106" t="s">
        <v>293</v>
      </c>
      <c r="H106" s="30" t="s">
        <v>150</v>
      </c>
    </row>
    <row r="107" spans="2:8" x14ac:dyDescent="0.25">
      <c r="C107" t="s">
        <v>295</v>
      </c>
      <c r="H107" s="172" t="s">
        <v>149</v>
      </c>
    </row>
    <row r="108" spans="2:8" x14ac:dyDescent="0.25">
      <c r="B108" t="s">
        <v>297</v>
      </c>
      <c r="C108" t="s">
        <v>296</v>
      </c>
      <c r="H108" s="172" t="s">
        <v>283</v>
      </c>
    </row>
    <row r="109" spans="2:8" x14ac:dyDescent="0.25">
      <c r="B109" t="s">
        <v>210</v>
      </c>
      <c r="C109" t="s">
        <v>298</v>
      </c>
      <c r="H109" s="172" t="s">
        <v>207</v>
      </c>
    </row>
    <row r="110" spans="2:8" x14ac:dyDescent="0.25">
      <c r="B110" t="s">
        <v>25</v>
      </c>
      <c r="C110" t="s">
        <v>299</v>
      </c>
      <c r="H110" s="172" t="s">
        <v>228</v>
      </c>
    </row>
    <row r="111" spans="2:8" x14ac:dyDescent="0.25">
      <c r="B111" t="s">
        <v>184</v>
      </c>
      <c r="C111" t="s">
        <v>300</v>
      </c>
      <c r="H111" s="30" t="s">
        <v>158</v>
      </c>
    </row>
    <row r="112" spans="2:8" x14ac:dyDescent="0.25">
      <c r="B112" t="s">
        <v>184</v>
      </c>
      <c r="C112" t="s">
        <v>301</v>
      </c>
      <c r="H112" s="172" t="s">
        <v>157</v>
      </c>
    </row>
    <row r="113" spans="2:8" x14ac:dyDescent="0.25">
      <c r="B113" t="s">
        <v>303</v>
      </c>
      <c r="C113" t="s">
        <v>302</v>
      </c>
      <c r="H113" s="30" t="s">
        <v>257</v>
      </c>
    </row>
    <row r="114" spans="2:8" x14ac:dyDescent="0.25">
      <c r="B114" t="s">
        <v>265</v>
      </c>
      <c r="C114" t="s">
        <v>304</v>
      </c>
      <c r="H114" s="172" t="s">
        <v>256</v>
      </c>
    </row>
    <row r="115" spans="2:8" x14ac:dyDescent="0.25">
      <c r="B115" t="s">
        <v>306</v>
      </c>
      <c r="C115" t="s">
        <v>305</v>
      </c>
      <c r="H115" s="30" t="s">
        <v>184</v>
      </c>
    </row>
    <row r="116" spans="2:8" x14ac:dyDescent="0.25">
      <c r="B116" t="s">
        <v>255</v>
      </c>
      <c r="C116" t="s">
        <v>307</v>
      </c>
      <c r="H116" s="172" t="s">
        <v>300</v>
      </c>
    </row>
    <row r="117" spans="2:8" x14ac:dyDescent="0.25">
      <c r="B117" t="s">
        <v>28</v>
      </c>
      <c r="C117" t="s">
        <v>308</v>
      </c>
      <c r="H117" s="172" t="s">
        <v>183</v>
      </c>
    </row>
    <row r="118" spans="2:8" x14ac:dyDescent="0.25">
      <c r="B118" t="s">
        <v>252</v>
      </c>
      <c r="C118" t="s">
        <v>309</v>
      </c>
      <c r="H118" s="172" t="s">
        <v>281</v>
      </c>
    </row>
    <row r="119" spans="2:8" x14ac:dyDescent="0.25">
      <c r="B119" t="s">
        <v>191</v>
      </c>
      <c r="C119" t="s">
        <v>310</v>
      </c>
      <c r="H119" s="172" t="s">
        <v>185</v>
      </c>
    </row>
    <row r="120" spans="2:8" x14ac:dyDescent="0.25">
      <c r="B120" t="s">
        <v>312</v>
      </c>
      <c r="C120" t="s">
        <v>311</v>
      </c>
      <c r="H120" s="172" t="s">
        <v>244</v>
      </c>
    </row>
    <row r="121" spans="2:8" x14ac:dyDescent="0.25">
      <c r="B121" t="s">
        <v>252</v>
      </c>
      <c r="C121" t="s">
        <v>313</v>
      </c>
      <c r="H121" s="172" t="s">
        <v>284</v>
      </c>
    </row>
    <row r="122" spans="2:8" x14ac:dyDescent="0.25">
      <c r="H122" s="172" t="s">
        <v>301</v>
      </c>
    </row>
    <row r="123" spans="2:8" x14ac:dyDescent="0.25">
      <c r="H123" s="30" t="s">
        <v>254</v>
      </c>
    </row>
    <row r="124" spans="2:8" x14ac:dyDescent="0.25">
      <c r="H124" s="172" t="s">
        <v>253</v>
      </c>
    </row>
    <row r="125" spans="2:8" x14ac:dyDescent="0.25">
      <c r="H125" s="30" t="s">
        <v>38</v>
      </c>
    </row>
    <row r="126" spans="2:8" x14ac:dyDescent="0.25">
      <c r="H126" s="172" t="s">
        <v>159</v>
      </c>
    </row>
    <row r="127" spans="2:8" x14ac:dyDescent="0.25">
      <c r="H127" s="30" t="s">
        <v>200</v>
      </c>
    </row>
    <row r="128" spans="2:8" x14ac:dyDescent="0.25">
      <c r="H128" s="172" t="s">
        <v>235</v>
      </c>
    </row>
    <row r="129" spans="8:8" x14ac:dyDescent="0.25">
      <c r="H129" s="172" t="s">
        <v>199</v>
      </c>
    </row>
    <row r="130" spans="8:8" x14ac:dyDescent="0.25">
      <c r="H130" s="172" t="s">
        <v>211</v>
      </c>
    </row>
    <row r="131" spans="8:8" x14ac:dyDescent="0.25">
      <c r="H131" s="30" t="s">
        <v>227</v>
      </c>
    </row>
    <row r="132" spans="8:8" x14ac:dyDescent="0.25">
      <c r="H132" s="172" t="s">
        <v>229</v>
      </c>
    </row>
    <row r="133" spans="8:8" x14ac:dyDescent="0.25">
      <c r="H133" s="172" t="s">
        <v>226</v>
      </c>
    </row>
    <row r="134" spans="8:8" x14ac:dyDescent="0.25">
      <c r="H134" s="30" t="s">
        <v>222</v>
      </c>
    </row>
    <row r="135" spans="8:8" x14ac:dyDescent="0.25">
      <c r="H135" s="172" t="s">
        <v>221</v>
      </c>
    </row>
    <row r="136" spans="8:8" x14ac:dyDescent="0.25">
      <c r="H136" s="172" t="s">
        <v>225</v>
      </c>
    </row>
    <row r="137" spans="8:8" x14ac:dyDescent="0.25">
      <c r="H137" s="172" t="s">
        <v>232</v>
      </c>
    </row>
    <row r="138" spans="8:8" x14ac:dyDescent="0.25">
      <c r="H138" s="172" t="s">
        <v>282</v>
      </c>
    </row>
    <row r="139" spans="8:8" x14ac:dyDescent="0.25">
      <c r="H139" s="30" t="s">
        <v>198</v>
      </c>
    </row>
    <row r="140" spans="8:8" x14ac:dyDescent="0.25">
      <c r="H140" s="172" t="s">
        <v>197</v>
      </c>
    </row>
    <row r="141" spans="8:8" x14ac:dyDescent="0.25">
      <c r="H141" s="30" t="s">
        <v>294</v>
      </c>
    </row>
    <row r="142" spans="8:8" x14ac:dyDescent="0.25">
      <c r="H142" s="172" t="s">
        <v>293</v>
      </c>
    </row>
    <row r="143" spans="8:8" x14ac:dyDescent="0.25">
      <c r="H143" s="30" t="s">
        <v>173</v>
      </c>
    </row>
    <row r="144" spans="8:8" x14ac:dyDescent="0.25">
      <c r="H144" s="172" t="s">
        <v>266</v>
      </c>
    </row>
    <row r="145" spans="8:8" x14ac:dyDescent="0.25">
      <c r="H145" s="172" t="s">
        <v>174</v>
      </c>
    </row>
    <row r="146" spans="8:8" x14ac:dyDescent="0.25">
      <c r="H146" s="172" t="s">
        <v>292</v>
      </c>
    </row>
    <row r="147" spans="8:8" x14ac:dyDescent="0.25">
      <c r="H147" s="30" t="s">
        <v>268</v>
      </c>
    </row>
    <row r="148" spans="8:8" x14ac:dyDescent="0.25">
      <c r="H148" s="172" t="s">
        <v>267</v>
      </c>
    </row>
    <row r="149" spans="8:8" x14ac:dyDescent="0.25">
      <c r="H149" s="30" t="s">
        <v>153</v>
      </c>
    </row>
    <row r="150" spans="8:8" x14ac:dyDescent="0.25">
      <c r="H150" s="172" t="s">
        <v>154</v>
      </c>
    </row>
    <row r="151" spans="8:8" x14ac:dyDescent="0.25">
      <c r="H151" s="30" t="s">
        <v>177</v>
      </c>
    </row>
    <row r="152" spans="8:8" x14ac:dyDescent="0.25">
      <c r="H152" s="172" t="s">
        <v>176</v>
      </c>
    </row>
    <row r="153" spans="8:8" x14ac:dyDescent="0.25">
      <c r="H153" s="30" t="s">
        <v>276</v>
      </c>
    </row>
    <row r="154" spans="8:8" x14ac:dyDescent="0.25">
      <c r="H154" s="172" t="s">
        <v>285</v>
      </c>
    </row>
    <row r="155" spans="8:8" x14ac:dyDescent="0.25">
      <c r="H155" s="172" t="s">
        <v>275</v>
      </c>
    </row>
    <row r="156" spans="8:8" x14ac:dyDescent="0.25">
      <c r="H156" s="30" t="s">
        <v>162</v>
      </c>
    </row>
    <row r="157" spans="8:8" x14ac:dyDescent="0.25">
      <c r="H157" s="172" t="s">
        <v>161</v>
      </c>
    </row>
    <row r="158" spans="8:8" x14ac:dyDescent="0.25">
      <c r="H158" s="30" t="s">
        <v>145</v>
      </c>
    </row>
    <row r="159" spans="8:8" x14ac:dyDescent="0.25">
      <c r="H159" s="172" t="s">
        <v>146</v>
      </c>
    </row>
    <row r="160" spans="8:8" x14ac:dyDescent="0.25">
      <c r="H160" s="30" t="s">
        <v>205</v>
      </c>
    </row>
    <row r="161" spans="8:8" x14ac:dyDescent="0.25">
      <c r="H161" s="172" t="s">
        <v>204</v>
      </c>
    </row>
    <row r="162" spans="8:8" x14ac:dyDescent="0.25">
      <c r="H162" s="30" t="s">
        <v>303</v>
      </c>
    </row>
    <row r="163" spans="8:8" x14ac:dyDescent="0.25">
      <c r="H163" s="172" t="s">
        <v>302</v>
      </c>
    </row>
    <row r="164" spans="8:8" x14ac:dyDescent="0.25">
      <c r="H164" s="30" t="s">
        <v>255</v>
      </c>
    </row>
    <row r="165" spans="8:8" x14ac:dyDescent="0.25">
      <c r="H165" s="172" t="s">
        <v>307</v>
      </c>
    </row>
    <row r="166" spans="8:8" x14ac:dyDescent="0.25">
      <c r="H166" s="30" t="s">
        <v>250</v>
      </c>
    </row>
    <row r="167" spans="8:8" x14ac:dyDescent="0.25">
      <c r="H167" s="172" t="s">
        <v>249</v>
      </c>
    </row>
    <row r="168" spans="8:8" x14ac:dyDescent="0.25">
      <c r="H168" s="30" t="s">
        <v>316</v>
      </c>
    </row>
    <row r="169" spans="8:8" x14ac:dyDescent="0.25">
      <c r="H169" s="172" t="s">
        <v>181</v>
      </c>
    </row>
    <row r="170" spans="8:8" x14ac:dyDescent="0.25">
      <c r="H170" s="172" t="s">
        <v>163</v>
      </c>
    </row>
    <row r="171" spans="8:8" x14ac:dyDescent="0.25">
      <c r="H171" s="172" t="s">
        <v>295</v>
      </c>
    </row>
    <row r="172" spans="8:8" x14ac:dyDescent="0.25">
      <c r="H172" s="172" t="s">
        <v>160</v>
      </c>
    </row>
    <row r="173" spans="8:8" x14ac:dyDescent="0.25">
      <c r="H173" s="172" t="s">
        <v>286</v>
      </c>
    </row>
    <row r="174" spans="8:8" x14ac:dyDescent="0.25">
      <c r="H174" s="172" t="s">
        <v>169</v>
      </c>
    </row>
    <row r="175" spans="8:8" x14ac:dyDescent="0.25">
      <c r="H175" s="172" t="s">
        <v>291</v>
      </c>
    </row>
    <row r="176" spans="8:8" x14ac:dyDescent="0.25">
      <c r="H176" s="172" t="s">
        <v>290</v>
      </c>
    </row>
    <row r="177" spans="8:8" x14ac:dyDescent="0.25">
      <c r="H177" s="172" t="s">
        <v>289</v>
      </c>
    </row>
    <row r="178" spans="8:8" x14ac:dyDescent="0.25">
      <c r="H178" s="30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6656-6753-4CD3-A5ED-2A41A7BD7065}">
  <dimension ref="A1:B13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t="s">
        <v>137</v>
      </c>
    </row>
    <row r="2" spans="1:2" x14ac:dyDescent="0.25">
      <c r="A2">
        <f>+ROW(A2)-1</f>
        <v>1</v>
      </c>
      <c r="B2" t="s">
        <v>138</v>
      </c>
    </row>
    <row r="3" spans="1:2" x14ac:dyDescent="0.25">
      <c r="A3">
        <f t="shared" ref="A3:A13" si="0">+ROW(A3)-1</f>
        <v>2</v>
      </c>
      <c r="B3" s="170" t="s">
        <v>139</v>
      </c>
    </row>
    <row r="4" spans="1:2" x14ac:dyDescent="0.25">
      <c r="A4">
        <f t="shared" si="0"/>
        <v>3</v>
      </c>
      <c r="B4" t="s">
        <v>140</v>
      </c>
    </row>
    <row r="5" spans="1:2" x14ac:dyDescent="0.25">
      <c r="A5">
        <f t="shared" si="0"/>
        <v>4</v>
      </c>
      <c r="B5" t="s">
        <v>141</v>
      </c>
    </row>
    <row r="6" spans="1:2" x14ac:dyDescent="0.25">
      <c r="A6">
        <f t="shared" si="0"/>
        <v>5</v>
      </c>
      <c r="B6" t="s">
        <v>142</v>
      </c>
    </row>
    <row r="7" spans="1:2" x14ac:dyDescent="0.25">
      <c r="A7">
        <f t="shared" si="0"/>
        <v>6</v>
      </c>
    </row>
    <row r="8" spans="1:2" x14ac:dyDescent="0.25">
      <c r="A8">
        <f t="shared" si="0"/>
        <v>7</v>
      </c>
    </row>
    <row r="9" spans="1:2" x14ac:dyDescent="0.25">
      <c r="A9">
        <f t="shared" si="0"/>
        <v>8</v>
      </c>
    </row>
    <row r="10" spans="1:2" x14ac:dyDescent="0.25">
      <c r="A10">
        <f t="shared" si="0"/>
        <v>9</v>
      </c>
    </row>
    <row r="11" spans="1:2" x14ac:dyDescent="0.25">
      <c r="A11">
        <f t="shared" si="0"/>
        <v>10</v>
      </c>
    </row>
    <row r="12" spans="1:2" x14ac:dyDescent="0.25">
      <c r="A12">
        <f t="shared" si="0"/>
        <v>11</v>
      </c>
    </row>
    <row r="13" spans="1:2" x14ac:dyDescent="0.25">
      <c r="A13">
        <f t="shared" si="0"/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CCA-EB70-495C-AA0B-A519EDED3721}">
  <dimension ref="B2:D10"/>
  <sheetViews>
    <sheetView workbookViewId="0">
      <selection activeCell="C6" sqref="C6"/>
    </sheetView>
  </sheetViews>
  <sheetFormatPr defaultRowHeight="15" x14ac:dyDescent="0.25"/>
  <cols>
    <col min="4" max="4" width="13.28515625" bestFit="1" customWidth="1"/>
  </cols>
  <sheetData>
    <row r="2" spans="2:4" x14ac:dyDescent="0.25">
      <c r="B2" t="s">
        <v>34</v>
      </c>
      <c r="C2" t="s">
        <v>33</v>
      </c>
      <c r="D2" t="s">
        <v>35</v>
      </c>
    </row>
    <row r="3" spans="2:4" x14ac:dyDescent="0.25">
      <c r="B3">
        <v>1</v>
      </c>
      <c r="C3" t="s">
        <v>32</v>
      </c>
    </row>
    <row r="4" spans="2:4" x14ac:dyDescent="0.25">
      <c r="B4">
        <v>2</v>
      </c>
    </row>
    <row r="5" spans="2:4" x14ac:dyDescent="0.25">
      <c r="B5">
        <v>3</v>
      </c>
    </row>
    <row r="6" spans="2:4" x14ac:dyDescent="0.25">
      <c r="B6">
        <v>4</v>
      </c>
    </row>
    <row r="7" spans="2:4" x14ac:dyDescent="0.25">
      <c r="B7">
        <v>5</v>
      </c>
    </row>
    <row r="8" spans="2:4" x14ac:dyDescent="0.25">
      <c r="B8">
        <v>6</v>
      </c>
    </row>
    <row r="9" spans="2:4" x14ac:dyDescent="0.25">
      <c r="B9">
        <v>7</v>
      </c>
    </row>
    <row r="10" spans="2:4" x14ac:dyDescent="0.25"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Music</vt:lpstr>
      <vt:lpstr>ToDo</vt:lpstr>
      <vt:lpstr>Dungeons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Nykolayow</dc:creator>
  <cp:lastModifiedBy>Patrick Nykolayow</cp:lastModifiedBy>
  <dcterms:created xsi:type="dcterms:W3CDTF">2026-08-23T04:23:41Z</dcterms:created>
  <dcterms:modified xsi:type="dcterms:W3CDTF">2026-09-29T10:17:40Z</dcterms:modified>
</cp:coreProperties>
</file>